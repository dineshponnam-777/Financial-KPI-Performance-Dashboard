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1f6f237ad0f3e2/Desktop/"/>
    </mc:Choice>
  </mc:AlternateContent>
  <xr:revisionPtr revIDLastSave="0" documentId="14_{A9D69EEA-95B3-47B2-88E9-D8BFFCC9E75A}" xr6:coauthVersionLast="47" xr6:coauthVersionMax="47" xr10:uidLastSave="{00000000-0000-0000-0000-000000000000}"/>
  <bookViews>
    <workbookView xWindow="-108" yWindow="-108" windowWidth="23256" windowHeight="12456" xr2:uid="{6F8AA801-D730-4AA1-91FE-9AFB0F304B0D}"/>
  </bookViews>
  <sheets>
    <sheet name="Financial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21" i="1" l="1"/>
  <c r="L121" i="1"/>
  <c r="M121" i="1" s="1"/>
  <c r="N121" i="1" s="1"/>
  <c r="P120" i="1"/>
  <c r="M120" i="1"/>
  <c r="N120" i="1" s="1"/>
  <c r="L120" i="1"/>
  <c r="P119" i="1"/>
  <c r="M119" i="1"/>
  <c r="N119" i="1" s="1"/>
  <c r="L119" i="1"/>
  <c r="P118" i="1"/>
  <c r="M118" i="1"/>
  <c r="N118" i="1" s="1"/>
  <c r="L118" i="1"/>
  <c r="P117" i="1"/>
  <c r="M117" i="1"/>
  <c r="N117" i="1" s="1"/>
  <c r="L117" i="1"/>
  <c r="P116" i="1"/>
  <c r="M116" i="1"/>
  <c r="N116" i="1" s="1"/>
  <c r="L116" i="1"/>
  <c r="P115" i="1"/>
  <c r="M115" i="1"/>
  <c r="N115" i="1" s="1"/>
  <c r="L115" i="1"/>
  <c r="P114" i="1"/>
  <c r="M114" i="1"/>
  <c r="N114" i="1" s="1"/>
  <c r="L114" i="1"/>
  <c r="P113" i="1"/>
  <c r="M113" i="1"/>
  <c r="N113" i="1" s="1"/>
  <c r="L113" i="1"/>
  <c r="P112" i="1"/>
  <c r="M112" i="1"/>
  <c r="N112" i="1" s="1"/>
  <c r="L112" i="1"/>
  <c r="P111" i="1"/>
  <c r="M111" i="1"/>
  <c r="N111" i="1" s="1"/>
  <c r="L111" i="1"/>
  <c r="P110" i="1"/>
  <c r="M110" i="1"/>
  <c r="N110" i="1" s="1"/>
  <c r="L110" i="1"/>
  <c r="P109" i="1"/>
  <c r="M109" i="1"/>
  <c r="N109" i="1" s="1"/>
  <c r="L109" i="1"/>
  <c r="P108" i="1"/>
  <c r="M108" i="1"/>
  <c r="N108" i="1" s="1"/>
  <c r="L108" i="1"/>
  <c r="P107" i="1"/>
  <c r="M107" i="1"/>
  <c r="N107" i="1" s="1"/>
  <c r="L107" i="1"/>
  <c r="P106" i="1"/>
  <c r="M106" i="1"/>
  <c r="N106" i="1" s="1"/>
  <c r="L106" i="1"/>
  <c r="P105" i="1"/>
  <c r="M105" i="1"/>
  <c r="N105" i="1" s="1"/>
  <c r="L105" i="1"/>
  <c r="P104" i="1"/>
  <c r="M104" i="1"/>
  <c r="N104" i="1" s="1"/>
  <c r="L104" i="1"/>
  <c r="P103" i="1"/>
  <c r="M103" i="1"/>
  <c r="N103" i="1" s="1"/>
  <c r="L103" i="1"/>
  <c r="P102" i="1"/>
  <c r="M102" i="1"/>
  <c r="N102" i="1" s="1"/>
  <c r="L102" i="1"/>
  <c r="P101" i="1"/>
  <c r="M101" i="1"/>
  <c r="N101" i="1" s="1"/>
  <c r="L101" i="1"/>
  <c r="P100" i="1"/>
  <c r="M100" i="1"/>
  <c r="N100" i="1" s="1"/>
  <c r="L100" i="1"/>
  <c r="P99" i="1"/>
  <c r="M99" i="1"/>
  <c r="N99" i="1" s="1"/>
  <c r="L99" i="1"/>
  <c r="P98" i="1"/>
  <c r="M98" i="1"/>
  <c r="N98" i="1" s="1"/>
  <c r="L98" i="1"/>
  <c r="P97" i="1"/>
  <c r="M97" i="1"/>
  <c r="N97" i="1" s="1"/>
  <c r="L97" i="1"/>
  <c r="P96" i="1"/>
  <c r="M96" i="1"/>
  <c r="N96" i="1" s="1"/>
  <c r="L96" i="1"/>
  <c r="P95" i="1"/>
  <c r="M95" i="1"/>
  <c r="N95" i="1" s="1"/>
  <c r="L95" i="1"/>
  <c r="P94" i="1"/>
  <c r="M94" i="1"/>
  <c r="N94" i="1" s="1"/>
  <c r="L94" i="1"/>
  <c r="P93" i="1"/>
  <c r="M93" i="1"/>
  <c r="N93" i="1" s="1"/>
  <c r="L93" i="1"/>
  <c r="P92" i="1"/>
  <c r="M92" i="1"/>
  <c r="N92" i="1" s="1"/>
  <c r="L92" i="1"/>
  <c r="P91" i="1"/>
  <c r="M91" i="1"/>
  <c r="N91" i="1" s="1"/>
  <c r="L91" i="1"/>
  <c r="P90" i="1"/>
  <c r="M90" i="1"/>
  <c r="N90" i="1" s="1"/>
  <c r="L90" i="1"/>
  <c r="P89" i="1"/>
  <c r="M89" i="1"/>
  <c r="N89" i="1" s="1"/>
  <c r="L89" i="1"/>
  <c r="P88" i="1"/>
  <c r="M88" i="1"/>
  <c r="N88" i="1" s="1"/>
  <c r="L88" i="1"/>
  <c r="P87" i="1"/>
  <c r="M87" i="1"/>
  <c r="N87" i="1" s="1"/>
  <c r="L87" i="1"/>
  <c r="P86" i="1"/>
  <c r="M86" i="1"/>
  <c r="N86" i="1" s="1"/>
  <c r="L86" i="1"/>
  <c r="P85" i="1"/>
  <c r="M85" i="1"/>
  <c r="N85" i="1" s="1"/>
  <c r="L85" i="1"/>
  <c r="P84" i="1"/>
  <c r="M84" i="1"/>
  <c r="N84" i="1" s="1"/>
  <c r="L84" i="1"/>
  <c r="P83" i="1"/>
  <c r="M83" i="1"/>
  <c r="N83" i="1" s="1"/>
  <c r="L83" i="1"/>
  <c r="P82" i="1"/>
  <c r="M82" i="1"/>
  <c r="N82" i="1" s="1"/>
  <c r="L82" i="1"/>
  <c r="P81" i="1"/>
  <c r="M81" i="1"/>
  <c r="N81" i="1" s="1"/>
  <c r="L81" i="1"/>
  <c r="P80" i="1"/>
  <c r="M80" i="1"/>
  <c r="N80" i="1" s="1"/>
  <c r="L80" i="1"/>
  <c r="P79" i="1"/>
  <c r="M79" i="1"/>
  <c r="N79" i="1" s="1"/>
  <c r="L79" i="1"/>
  <c r="P78" i="1"/>
  <c r="M78" i="1"/>
  <c r="N78" i="1" s="1"/>
  <c r="L78" i="1"/>
  <c r="P77" i="1"/>
  <c r="M77" i="1"/>
  <c r="N77" i="1" s="1"/>
  <c r="L77" i="1"/>
  <c r="P76" i="1"/>
  <c r="M76" i="1"/>
  <c r="N76" i="1" s="1"/>
  <c r="L76" i="1"/>
  <c r="P75" i="1"/>
  <c r="M75" i="1"/>
  <c r="N75" i="1" s="1"/>
  <c r="L75" i="1"/>
  <c r="P74" i="1"/>
  <c r="M74" i="1"/>
  <c r="N74" i="1" s="1"/>
  <c r="L74" i="1"/>
  <c r="P73" i="1"/>
  <c r="M73" i="1"/>
  <c r="N73" i="1" s="1"/>
  <c r="L73" i="1"/>
  <c r="P72" i="1"/>
  <c r="M72" i="1"/>
  <c r="N72" i="1" s="1"/>
  <c r="L72" i="1"/>
  <c r="P71" i="1"/>
  <c r="M71" i="1"/>
  <c r="N71" i="1" s="1"/>
  <c r="L71" i="1"/>
  <c r="P70" i="1"/>
  <c r="M70" i="1"/>
  <c r="N70" i="1" s="1"/>
  <c r="L70" i="1"/>
  <c r="P69" i="1"/>
  <c r="M69" i="1"/>
  <c r="N69" i="1" s="1"/>
  <c r="L69" i="1"/>
  <c r="P68" i="1"/>
  <c r="M68" i="1"/>
  <c r="N68" i="1" s="1"/>
  <c r="L68" i="1"/>
  <c r="P67" i="1"/>
  <c r="M67" i="1"/>
  <c r="N67" i="1" s="1"/>
  <c r="L67" i="1"/>
  <c r="P66" i="1"/>
  <c r="M66" i="1"/>
  <c r="N66" i="1" s="1"/>
  <c r="L66" i="1"/>
  <c r="P65" i="1"/>
  <c r="M65" i="1"/>
  <c r="N65" i="1" s="1"/>
  <c r="L65" i="1"/>
  <c r="P64" i="1"/>
  <c r="M64" i="1"/>
  <c r="N64" i="1" s="1"/>
  <c r="L64" i="1"/>
  <c r="P63" i="1"/>
  <c r="M63" i="1"/>
  <c r="N63" i="1" s="1"/>
  <c r="L63" i="1"/>
  <c r="P62" i="1"/>
  <c r="M62" i="1"/>
  <c r="N62" i="1" s="1"/>
  <c r="L62" i="1"/>
  <c r="P61" i="1"/>
  <c r="M61" i="1"/>
  <c r="N61" i="1" s="1"/>
  <c r="L61" i="1"/>
  <c r="P60" i="1"/>
  <c r="M60" i="1"/>
  <c r="N60" i="1" s="1"/>
  <c r="L60" i="1"/>
  <c r="P59" i="1"/>
  <c r="M59" i="1"/>
  <c r="N59" i="1" s="1"/>
  <c r="L59" i="1"/>
  <c r="P58" i="1"/>
  <c r="M58" i="1"/>
  <c r="N58" i="1" s="1"/>
  <c r="L58" i="1"/>
  <c r="P57" i="1"/>
  <c r="M57" i="1"/>
  <c r="N57" i="1" s="1"/>
  <c r="L57" i="1"/>
  <c r="P56" i="1"/>
  <c r="M56" i="1"/>
  <c r="N56" i="1" s="1"/>
  <c r="L56" i="1"/>
  <c r="P55" i="1"/>
  <c r="M55" i="1"/>
  <c r="N55" i="1" s="1"/>
  <c r="L55" i="1"/>
  <c r="P54" i="1"/>
  <c r="M54" i="1"/>
  <c r="N54" i="1" s="1"/>
  <c r="L54" i="1"/>
  <c r="P53" i="1"/>
  <c r="M53" i="1"/>
  <c r="N53" i="1" s="1"/>
  <c r="L53" i="1"/>
  <c r="P52" i="1"/>
  <c r="M52" i="1"/>
  <c r="N52" i="1" s="1"/>
  <c r="L52" i="1"/>
  <c r="P51" i="1"/>
  <c r="M51" i="1"/>
  <c r="N51" i="1" s="1"/>
  <c r="L51" i="1"/>
  <c r="P50" i="1"/>
  <c r="M50" i="1"/>
  <c r="N50" i="1" s="1"/>
  <c r="L50" i="1"/>
  <c r="P49" i="1"/>
  <c r="M49" i="1"/>
  <c r="N49" i="1" s="1"/>
  <c r="L49" i="1"/>
  <c r="P48" i="1"/>
  <c r="M48" i="1"/>
  <c r="N48" i="1" s="1"/>
  <c r="L48" i="1"/>
  <c r="P47" i="1"/>
  <c r="M47" i="1"/>
  <c r="N47" i="1" s="1"/>
  <c r="L47" i="1"/>
  <c r="P46" i="1"/>
  <c r="M46" i="1"/>
  <c r="N46" i="1" s="1"/>
  <c r="L46" i="1"/>
  <c r="P45" i="1"/>
  <c r="M45" i="1"/>
  <c r="N45" i="1" s="1"/>
  <c r="L45" i="1"/>
  <c r="P44" i="1"/>
  <c r="M44" i="1"/>
  <c r="N44" i="1" s="1"/>
  <c r="L44" i="1"/>
  <c r="P43" i="1"/>
  <c r="M43" i="1"/>
  <c r="N43" i="1" s="1"/>
  <c r="L43" i="1"/>
  <c r="P42" i="1"/>
  <c r="M42" i="1"/>
  <c r="N42" i="1" s="1"/>
  <c r="L42" i="1"/>
  <c r="P41" i="1"/>
  <c r="M41" i="1"/>
  <c r="N41" i="1" s="1"/>
  <c r="L41" i="1"/>
  <c r="P40" i="1"/>
  <c r="M40" i="1"/>
  <c r="N40" i="1" s="1"/>
  <c r="L40" i="1"/>
  <c r="P39" i="1"/>
  <c r="M39" i="1"/>
  <c r="N39" i="1" s="1"/>
  <c r="L39" i="1"/>
  <c r="P38" i="1"/>
  <c r="M38" i="1"/>
  <c r="N38" i="1" s="1"/>
  <c r="L38" i="1"/>
  <c r="P37" i="1"/>
  <c r="M37" i="1"/>
  <c r="N37" i="1" s="1"/>
  <c r="L37" i="1"/>
  <c r="P36" i="1"/>
  <c r="M36" i="1"/>
  <c r="N36" i="1" s="1"/>
  <c r="L36" i="1"/>
  <c r="P35" i="1"/>
  <c r="M35" i="1"/>
  <c r="N35" i="1" s="1"/>
  <c r="L35" i="1"/>
  <c r="P34" i="1"/>
  <c r="M34" i="1"/>
  <c r="N34" i="1" s="1"/>
  <c r="L34" i="1"/>
  <c r="P33" i="1"/>
  <c r="M33" i="1"/>
  <c r="N33" i="1" s="1"/>
  <c r="L33" i="1"/>
  <c r="P32" i="1"/>
  <c r="M32" i="1"/>
  <c r="N32" i="1" s="1"/>
  <c r="L32" i="1"/>
  <c r="P31" i="1"/>
  <c r="M31" i="1"/>
  <c r="N31" i="1" s="1"/>
  <c r="L31" i="1"/>
  <c r="P30" i="1"/>
  <c r="M30" i="1"/>
  <c r="N30" i="1" s="1"/>
  <c r="L30" i="1"/>
  <c r="P29" i="1"/>
  <c r="M29" i="1"/>
  <c r="N29" i="1" s="1"/>
  <c r="L29" i="1"/>
  <c r="P28" i="1"/>
  <c r="M28" i="1"/>
  <c r="N28" i="1" s="1"/>
  <c r="L28" i="1"/>
  <c r="P27" i="1"/>
  <c r="M27" i="1"/>
  <c r="N27" i="1" s="1"/>
  <c r="L27" i="1"/>
  <c r="P26" i="1"/>
  <c r="M26" i="1"/>
  <c r="N26" i="1" s="1"/>
  <c r="L26" i="1"/>
  <c r="P25" i="1"/>
  <c r="M25" i="1"/>
  <c r="N25" i="1" s="1"/>
  <c r="L25" i="1"/>
  <c r="P24" i="1"/>
  <c r="M24" i="1"/>
  <c r="N24" i="1" s="1"/>
  <c r="L24" i="1"/>
  <c r="P23" i="1"/>
  <c r="M23" i="1"/>
  <c r="N23" i="1" s="1"/>
  <c r="L23" i="1"/>
  <c r="P22" i="1"/>
  <c r="M22" i="1"/>
  <c r="N22" i="1" s="1"/>
  <c r="L22" i="1"/>
  <c r="P21" i="1"/>
  <c r="L21" i="1"/>
  <c r="M21" i="1" s="1"/>
  <c r="N21" i="1" s="1"/>
  <c r="P20" i="1"/>
  <c r="L20" i="1"/>
  <c r="M20" i="1" s="1"/>
  <c r="N20" i="1" s="1"/>
  <c r="P19" i="1"/>
  <c r="L19" i="1"/>
  <c r="M19" i="1" s="1"/>
  <c r="N19" i="1" s="1"/>
  <c r="P18" i="1"/>
  <c r="L18" i="1"/>
  <c r="M18" i="1" s="1"/>
  <c r="N18" i="1" s="1"/>
  <c r="P17" i="1"/>
  <c r="L17" i="1"/>
  <c r="M17" i="1" s="1"/>
  <c r="N17" i="1" s="1"/>
  <c r="P16" i="1"/>
  <c r="L16" i="1"/>
  <c r="M16" i="1" s="1"/>
  <c r="N16" i="1" s="1"/>
  <c r="P15" i="1"/>
  <c r="L15" i="1"/>
  <c r="M15" i="1" s="1"/>
  <c r="N15" i="1" s="1"/>
  <c r="P14" i="1"/>
  <c r="L14" i="1"/>
  <c r="M14" i="1" s="1"/>
  <c r="N14" i="1" s="1"/>
  <c r="P13" i="1"/>
  <c r="L13" i="1"/>
  <c r="M13" i="1" s="1"/>
  <c r="N13" i="1" s="1"/>
  <c r="P12" i="1"/>
  <c r="L12" i="1"/>
  <c r="M12" i="1" s="1"/>
  <c r="N12" i="1" s="1"/>
  <c r="P11" i="1"/>
  <c r="L11" i="1"/>
  <c r="M11" i="1" s="1"/>
  <c r="N11" i="1" s="1"/>
  <c r="P10" i="1"/>
  <c r="L10" i="1"/>
  <c r="M10" i="1" s="1"/>
  <c r="N10" i="1" s="1"/>
  <c r="P9" i="1"/>
  <c r="L9" i="1"/>
  <c r="M9" i="1" s="1"/>
  <c r="N9" i="1" s="1"/>
  <c r="P8" i="1"/>
  <c r="L8" i="1"/>
  <c r="M8" i="1" s="1"/>
  <c r="N8" i="1" s="1"/>
  <c r="P7" i="1"/>
  <c r="L7" i="1"/>
  <c r="M7" i="1" s="1"/>
  <c r="N7" i="1" s="1"/>
  <c r="P6" i="1"/>
  <c r="L6" i="1"/>
  <c r="M6" i="1" s="1"/>
  <c r="N6" i="1" s="1"/>
  <c r="P5" i="1"/>
  <c r="L5" i="1"/>
  <c r="M5" i="1" s="1"/>
  <c r="N5" i="1" s="1"/>
  <c r="P4" i="1"/>
  <c r="L4" i="1"/>
  <c r="M4" i="1" s="1"/>
  <c r="N4" i="1" s="1"/>
  <c r="P3" i="1"/>
  <c r="L3" i="1"/>
  <c r="M3" i="1" s="1"/>
  <c r="N3" i="1" s="1"/>
  <c r="P2" i="1"/>
  <c r="L2" i="1"/>
  <c r="M2" i="1" s="1"/>
  <c r="N2" i="1" s="1"/>
</calcChain>
</file>

<file path=xl/sharedStrings.xml><?xml version="1.0" encoding="utf-8"?>
<sst xmlns="http://schemas.openxmlformats.org/spreadsheetml/2006/main" count="980" uniqueCount="46">
  <si>
    <t>Date</t>
  </si>
  <si>
    <t>Month</t>
  </si>
  <si>
    <t>Quarter</t>
  </si>
  <si>
    <t>Year</t>
  </si>
  <si>
    <t>Region</t>
  </si>
  <si>
    <t>Department</t>
  </si>
  <si>
    <t>Product Category</t>
  </si>
  <si>
    <t>Product Name</t>
  </si>
  <si>
    <t>Revenue</t>
  </si>
  <si>
    <t>Cost of Goods Sold</t>
  </si>
  <si>
    <t>Operating Expenses</t>
  </si>
  <si>
    <t>Gross Profit</t>
  </si>
  <si>
    <t>Net Profit</t>
  </si>
  <si>
    <t>Profit Margin %</t>
  </si>
  <si>
    <t>Sales Volume</t>
  </si>
  <si>
    <t>Budgeted Revenue</t>
  </si>
  <si>
    <t>Actual Revenue</t>
  </si>
  <si>
    <t>Budget Variance</t>
  </si>
  <si>
    <t>Customer Segment</t>
  </si>
  <si>
    <t>Sales Channel</t>
  </si>
  <si>
    <t>January</t>
  </si>
  <si>
    <t>Q1</t>
  </si>
  <si>
    <t>South</t>
  </si>
  <si>
    <t>HR</t>
  </si>
  <si>
    <t>Electronics</t>
  </si>
  <si>
    <t>Product C</t>
  </si>
  <si>
    <t>Small Business</t>
  </si>
  <si>
    <t>Offline</t>
  </si>
  <si>
    <t>Operations</t>
  </si>
  <si>
    <t>Furniture</t>
  </si>
  <si>
    <t>Product D</t>
  </si>
  <si>
    <t>Corporate</t>
  </si>
  <si>
    <t>Online</t>
  </si>
  <si>
    <t>North</t>
  </si>
  <si>
    <t>Retail</t>
  </si>
  <si>
    <t>Finance</t>
  </si>
  <si>
    <t>Clothing</t>
  </si>
  <si>
    <t>Product B</t>
  </si>
  <si>
    <t>West</t>
  </si>
  <si>
    <t>Product A</t>
  </si>
  <si>
    <t>East</t>
  </si>
  <si>
    <t>Sales</t>
  </si>
  <si>
    <t>February</t>
  </si>
  <si>
    <t>March</t>
  </si>
  <si>
    <t>April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</si>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</sst>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B75A3-F354-41A8-B561-3197EF4F304E}">
  <dimension ref="A1:T121"/>
  <sheetViews>
    <sheetView tabSelected="1" workbookViewId="0">
      <selection activeCell="A2" sqref="A2"/>
    </sheetView>
  </sheetViews>
  <sheetFormatPr defaultRowHeight="14.4" x14ac:dyDescent="0.3"/>
  <cols>
    <col min="1" max="1" width="14.5546875" customWidth="1"/>
    <col min="2" max="2" width="12.21875" customWidth="1"/>
    <col min="3" max="3" width="9.88671875" customWidth="1"/>
    <col min="4" max="4" width="10.44140625" customWidth="1"/>
    <col min="5" max="5" width="12.44140625" customWidth="1"/>
    <col min="6" max="6" width="15" customWidth="1"/>
    <col min="7" max="7" width="18.88671875" customWidth="1"/>
    <col min="8" max="8" width="14.5546875" customWidth="1"/>
    <col min="9" max="9" width="11.109375" customWidth="1"/>
    <col min="10" max="10" width="20.77734375" customWidth="1"/>
    <col min="11" max="11" width="22.109375" customWidth="1"/>
    <col min="12" max="12" width="17" customWidth="1"/>
    <col min="13" max="13" width="16.6640625" customWidth="1"/>
    <col min="14" max="14" width="17.109375" customWidth="1"/>
    <col min="15" max="15" width="14.88671875" customWidth="1"/>
    <col min="16" max="16" width="15.88671875" customWidth="1"/>
    <col min="17" max="17" width="14.5546875" customWidth="1"/>
    <col min="18" max="18" width="17.77734375" customWidth="1"/>
    <col min="19" max="19" width="17.109375" customWidth="1"/>
    <col min="20" max="20" width="15.77734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44927</v>
      </c>
      <c r="B2" s="1" t="s">
        <v>20</v>
      </c>
      <c r="C2" s="1" t="s">
        <v>21</v>
      </c>
      <c r="D2" s="1">
        <v>2023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167680</v>
      </c>
      <c r="J2" s="1">
        <v>86211</v>
      </c>
      <c r="K2" s="1">
        <v>18549</v>
      </c>
      <c r="L2" s="1">
        <f>I2-J2</f>
        <v>81469</v>
      </c>
      <c r="M2" s="1">
        <f>L2-K2</f>
        <v>62920</v>
      </c>
      <c r="N2" s="3">
        <f>M2/I2*100</f>
        <v>37.523854961832058</v>
      </c>
      <c r="O2" s="1">
        <v>49</v>
      </c>
      <c r="P2" s="1">
        <f>Q2-R2</f>
        <v>157144</v>
      </c>
      <c r="Q2" s="1">
        <v>167680</v>
      </c>
      <c r="R2" s="1">
        <v>10536</v>
      </c>
      <c r="S2" s="1" t="s">
        <v>26</v>
      </c>
      <c r="T2" s="1" t="s">
        <v>27</v>
      </c>
    </row>
    <row r="3" spans="1:20" x14ac:dyDescent="0.3">
      <c r="A3" s="2">
        <v>44928</v>
      </c>
      <c r="B3" s="1" t="s">
        <v>20</v>
      </c>
      <c r="C3" s="1" t="s">
        <v>21</v>
      </c>
      <c r="D3" s="1">
        <v>2023</v>
      </c>
      <c r="E3" s="1" t="s">
        <v>22</v>
      </c>
      <c r="F3" s="1" t="s">
        <v>28</v>
      </c>
      <c r="G3" s="1" t="s">
        <v>29</v>
      </c>
      <c r="H3" s="1" t="s">
        <v>30</v>
      </c>
      <c r="I3" s="1">
        <v>113334</v>
      </c>
      <c r="J3" s="1">
        <v>66588</v>
      </c>
      <c r="K3" s="1">
        <v>41988</v>
      </c>
      <c r="L3" s="1">
        <f t="shared" ref="L3:L66" si="0">I3-J3</f>
        <v>46746</v>
      </c>
      <c r="M3" s="1">
        <f t="shared" ref="M3:M66" si="1">L3-K3</f>
        <v>4758</v>
      </c>
      <c r="N3" s="4">
        <f t="shared" ref="N3:N66" si="2">M3/I3*100</f>
        <v>4.1982105987611842</v>
      </c>
      <c r="O3" s="1">
        <v>32</v>
      </c>
      <c r="P3" s="1">
        <f t="shared" ref="P3:P66" si="3">Q3-R3</f>
        <v>153042</v>
      </c>
      <c r="Q3" s="1">
        <v>113334</v>
      </c>
      <c r="R3" s="1">
        <v>-39708</v>
      </c>
      <c r="S3" s="1" t="s">
        <v>31</v>
      </c>
      <c r="T3" s="1" t="s">
        <v>32</v>
      </c>
    </row>
    <row r="4" spans="1:20" x14ac:dyDescent="0.3">
      <c r="A4" s="2">
        <v>44929</v>
      </c>
      <c r="B4" s="1" t="s">
        <v>20</v>
      </c>
      <c r="C4" s="1" t="s">
        <v>21</v>
      </c>
      <c r="D4" s="1">
        <v>2023</v>
      </c>
      <c r="E4" s="1" t="s">
        <v>33</v>
      </c>
      <c r="F4" s="1" t="s">
        <v>23</v>
      </c>
      <c r="G4" s="1" t="s">
        <v>29</v>
      </c>
      <c r="H4" s="1" t="s">
        <v>25</v>
      </c>
      <c r="I4" s="1">
        <v>158934</v>
      </c>
      <c r="J4" s="1">
        <v>95884</v>
      </c>
      <c r="K4" s="1">
        <v>28352</v>
      </c>
      <c r="L4" s="1">
        <f t="shared" si="0"/>
        <v>63050</v>
      </c>
      <c r="M4" s="1">
        <f t="shared" si="1"/>
        <v>34698</v>
      </c>
      <c r="N4" s="4">
        <f t="shared" si="2"/>
        <v>21.831703726074974</v>
      </c>
      <c r="O4" s="1">
        <v>78</v>
      </c>
      <c r="P4" s="1">
        <f t="shared" si="3"/>
        <v>89273</v>
      </c>
      <c r="Q4" s="1">
        <v>158934</v>
      </c>
      <c r="R4" s="1">
        <v>69661</v>
      </c>
      <c r="S4" s="1" t="s">
        <v>34</v>
      </c>
      <c r="T4" s="1" t="s">
        <v>27</v>
      </c>
    </row>
    <row r="5" spans="1:20" x14ac:dyDescent="0.3">
      <c r="A5" s="2">
        <v>44930</v>
      </c>
      <c r="B5" s="1" t="s">
        <v>20</v>
      </c>
      <c r="C5" s="1" t="s">
        <v>21</v>
      </c>
      <c r="D5" s="1">
        <v>2023</v>
      </c>
      <c r="E5" s="1" t="s">
        <v>22</v>
      </c>
      <c r="F5" s="1" t="s">
        <v>35</v>
      </c>
      <c r="G5" s="1" t="s">
        <v>36</v>
      </c>
      <c r="H5" s="1" t="s">
        <v>37</v>
      </c>
      <c r="I5" s="1">
        <v>74472</v>
      </c>
      <c r="J5" s="1">
        <v>46794</v>
      </c>
      <c r="K5" s="1">
        <v>24106</v>
      </c>
      <c r="L5" s="1">
        <f t="shared" si="0"/>
        <v>27678</v>
      </c>
      <c r="M5" s="1">
        <f t="shared" si="1"/>
        <v>3572</v>
      </c>
      <c r="N5" s="4">
        <f t="shared" si="2"/>
        <v>4.7964335589214739</v>
      </c>
      <c r="O5" s="1">
        <v>21</v>
      </c>
      <c r="P5" s="1">
        <f t="shared" si="3"/>
        <v>86164</v>
      </c>
      <c r="Q5" s="1">
        <v>74472</v>
      </c>
      <c r="R5" s="1">
        <v>-11692</v>
      </c>
      <c r="S5" s="1" t="s">
        <v>26</v>
      </c>
      <c r="T5" s="1" t="s">
        <v>32</v>
      </c>
    </row>
    <row r="6" spans="1:20" x14ac:dyDescent="0.3">
      <c r="A6" s="2">
        <v>44931</v>
      </c>
      <c r="B6" s="1" t="s">
        <v>20</v>
      </c>
      <c r="C6" s="1" t="s">
        <v>21</v>
      </c>
      <c r="D6" s="1">
        <v>2023</v>
      </c>
      <c r="E6" s="1" t="s">
        <v>22</v>
      </c>
      <c r="F6" s="1" t="s">
        <v>28</v>
      </c>
      <c r="G6" s="1" t="s">
        <v>29</v>
      </c>
      <c r="H6" s="1" t="s">
        <v>30</v>
      </c>
      <c r="I6" s="1">
        <v>105674</v>
      </c>
      <c r="J6" s="1">
        <v>72159</v>
      </c>
      <c r="K6" s="1">
        <v>47936</v>
      </c>
      <c r="L6" s="1">
        <f t="shared" si="0"/>
        <v>33515</v>
      </c>
      <c r="M6" s="1">
        <f t="shared" si="1"/>
        <v>-14421</v>
      </c>
      <c r="N6" s="4">
        <f t="shared" si="2"/>
        <v>-13.646686980714273</v>
      </c>
      <c r="O6" s="1">
        <v>40</v>
      </c>
      <c r="P6" s="1">
        <f t="shared" si="3"/>
        <v>116165</v>
      </c>
      <c r="Q6" s="1">
        <v>105674</v>
      </c>
      <c r="R6" s="1">
        <v>-10491</v>
      </c>
      <c r="S6" s="1" t="s">
        <v>34</v>
      </c>
      <c r="T6" s="1" t="s">
        <v>32</v>
      </c>
    </row>
    <row r="7" spans="1:20" x14ac:dyDescent="0.3">
      <c r="A7" s="2">
        <v>44932</v>
      </c>
      <c r="B7" s="1" t="s">
        <v>20</v>
      </c>
      <c r="C7" s="1" t="s">
        <v>21</v>
      </c>
      <c r="D7" s="1">
        <v>2023</v>
      </c>
      <c r="E7" s="1" t="s">
        <v>38</v>
      </c>
      <c r="F7" s="1" t="s">
        <v>28</v>
      </c>
      <c r="G7" s="1" t="s">
        <v>36</v>
      </c>
      <c r="H7" s="1" t="s">
        <v>30</v>
      </c>
      <c r="I7" s="1">
        <v>112783</v>
      </c>
      <c r="J7" s="1">
        <v>56555</v>
      </c>
      <c r="K7" s="1">
        <v>30337</v>
      </c>
      <c r="L7" s="1">
        <f t="shared" si="0"/>
        <v>56228</v>
      </c>
      <c r="M7" s="1">
        <f t="shared" si="1"/>
        <v>25891</v>
      </c>
      <c r="N7" s="4">
        <f t="shared" si="2"/>
        <v>22.956473936674854</v>
      </c>
      <c r="O7" s="1">
        <v>19</v>
      </c>
      <c r="P7" s="1">
        <f t="shared" si="3"/>
        <v>127771</v>
      </c>
      <c r="Q7" s="1">
        <v>112783</v>
      </c>
      <c r="R7" s="1">
        <v>-14988</v>
      </c>
      <c r="S7" s="1" t="s">
        <v>31</v>
      </c>
      <c r="T7" s="1" t="s">
        <v>32</v>
      </c>
    </row>
    <row r="8" spans="1:20" x14ac:dyDescent="0.3">
      <c r="A8" s="2">
        <v>44933</v>
      </c>
      <c r="B8" s="1" t="s">
        <v>20</v>
      </c>
      <c r="C8" s="1" t="s">
        <v>21</v>
      </c>
      <c r="D8" s="1">
        <v>2023</v>
      </c>
      <c r="E8" s="1" t="s">
        <v>38</v>
      </c>
      <c r="F8" s="1" t="s">
        <v>35</v>
      </c>
      <c r="G8" s="1" t="s">
        <v>24</v>
      </c>
      <c r="H8" s="1" t="s">
        <v>39</v>
      </c>
      <c r="I8" s="1">
        <v>84212</v>
      </c>
      <c r="J8" s="1">
        <v>47158</v>
      </c>
      <c r="K8" s="1">
        <v>16961</v>
      </c>
      <c r="L8" s="1">
        <f t="shared" si="0"/>
        <v>37054</v>
      </c>
      <c r="M8" s="1">
        <f t="shared" si="1"/>
        <v>20093</v>
      </c>
      <c r="N8" s="4">
        <f t="shared" si="2"/>
        <v>23.860019949650884</v>
      </c>
      <c r="O8" s="1">
        <v>46</v>
      </c>
      <c r="P8" s="1">
        <f t="shared" si="3"/>
        <v>113130</v>
      </c>
      <c r="Q8" s="1">
        <v>84212</v>
      </c>
      <c r="R8" s="1">
        <v>-28918</v>
      </c>
      <c r="S8" s="1" t="s">
        <v>34</v>
      </c>
      <c r="T8" s="1" t="s">
        <v>27</v>
      </c>
    </row>
    <row r="9" spans="1:20" x14ac:dyDescent="0.3">
      <c r="A9" s="2">
        <v>44934</v>
      </c>
      <c r="B9" s="1" t="s">
        <v>20</v>
      </c>
      <c r="C9" s="1" t="s">
        <v>21</v>
      </c>
      <c r="D9" s="1">
        <v>2023</v>
      </c>
      <c r="E9" s="1" t="s">
        <v>40</v>
      </c>
      <c r="F9" s="1" t="s">
        <v>41</v>
      </c>
      <c r="G9" s="1" t="s">
        <v>29</v>
      </c>
      <c r="H9" s="1" t="s">
        <v>25</v>
      </c>
      <c r="I9" s="1">
        <v>156474</v>
      </c>
      <c r="J9" s="1">
        <v>64485</v>
      </c>
      <c r="K9" s="1">
        <v>21652</v>
      </c>
      <c r="L9" s="1">
        <f t="shared" si="0"/>
        <v>91989</v>
      </c>
      <c r="M9" s="1">
        <f t="shared" si="1"/>
        <v>70337</v>
      </c>
      <c r="N9" s="4">
        <f t="shared" si="2"/>
        <v>44.951237905338907</v>
      </c>
      <c r="O9" s="1">
        <v>74</v>
      </c>
      <c r="P9" s="1">
        <f t="shared" si="3"/>
        <v>170384</v>
      </c>
      <c r="Q9" s="1">
        <v>156474</v>
      </c>
      <c r="R9" s="1">
        <v>-13910</v>
      </c>
      <c r="S9" s="1" t="s">
        <v>31</v>
      </c>
      <c r="T9" s="1" t="s">
        <v>32</v>
      </c>
    </row>
    <row r="10" spans="1:20" x14ac:dyDescent="0.3">
      <c r="A10" s="2">
        <v>44935</v>
      </c>
      <c r="B10" s="1" t="s">
        <v>20</v>
      </c>
      <c r="C10" s="1" t="s">
        <v>21</v>
      </c>
      <c r="D10" s="1">
        <v>2023</v>
      </c>
      <c r="E10" s="1" t="s">
        <v>22</v>
      </c>
      <c r="F10" s="1" t="s">
        <v>35</v>
      </c>
      <c r="G10" s="1" t="s">
        <v>29</v>
      </c>
      <c r="H10" s="1" t="s">
        <v>39</v>
      </c>
      <c r="I10" s="1">
        <v>171954</v>
      </c>
      <c r="J10" s="1">
        <v>83244</v>
      </c>
      <c r="K10" s="1">
        <v>26726</v>
      </c>
      <c r="L10" s="1">
        <f t="shared" si="0"/>
        <v>88710</v>
      </c>
      <c r="M10" s="1">
        <f t="shared" si="1"/>
        <v>61984</v>
      </c>
      <c r="N10" s="4">
        <f t="shared" si="2"/>
        <v>36.046849738883658</v>
      </c>
      <c r="O10" s="1">
        <v>91</v>
      </c>
      <c r="P10" s="1">
        <f t="shared" si="3"/>
        <v>133629</v>
      </c>
      <c r="Q10" s="1">
        <v>171954</v>
      </c>
      <c r="R10" s="1">
        <v>38325</v>
      </c>
      <c r="S10" s="1" t="s">
        <v>26</v>
      </c>
      <c r="T10" s="1" t="s">
        <v>27</v>
      </c>
    </row>
    <row r="11" spans="1:20" x14ac:dyDescent="0.3">
      <c r="A11" s="2">
        <v>44936</v>
      </c>
      <c r="B11" s="1" t="s">
        <v>20</v>
      </c>
      <c r="C11" s="1" t="s">
        <v>21</v>
      </c>
      <c r="D11" s="1">
        <v>2023</v>
      </c>
      <c r="E11" s="1" t="s">
        <v>33</v>
      </c>
      <c r="F11" s="1" t="s">
        <v>35</v>
      </c>
      <c r="G11" s="1" t="s">
        <v>29</v>
      </c>
      <c r="H11" s="1" t="s">
        <v>30</v>
      </c>
      <c r="I11" s="1">
        <v>148959</v>
      </c>
      <c r="J11" s="1">
        <v>59457</v>
      </c>
      <c r="K11" s="1">
        <v>49722</v>
      </c>
      <c r="L11" s="1">
        <f t="shared" si="0"/>
        <v>89502</v>
      </c>
      <c r="M11" s="1">
        <f t="shared" si="1"/>
        <v>39780</v>
      </c>
      <c r="N11" s="4">
        <f t="shared" si="2"/>
        <v>26.70533502507401</v>
      </c>
      <c r="O11" s="1">
        <v>47</v>
      </c>
      <c r="P11" s="1">
        <f t="shared" si="3"/>
        <v>174792</v>
      </c>
      <c r="Q11" s="1">
        <v>148959</v>
      </c>
      <c r="R11" s="1">
        <v>-25833</v>
      </c>
      <c r="S11" s="1" t="s">
        <v>26</v>
      </c>
      <c r="T11" s="1" t="s">
        <v>32</v>
      </c>
    </row>
    <row r="12" spans="1:20" x14ac:dyDescent="0.3">
      <c r="A12" s="2">
        <v>44937</v>
      </c>
      <c r="B12" s="1" t="s">
        <v>20</v>
      </c>
      <c r="C12" s="1" t="s">
        <v>21</v>
      </c>
      <c r="D12" s="1">
        <v>2023</v>
      </c>
      <c r="E12" s="1" t="s">
        <v>33</v>
      </c>
      <c r="F12" s="1" t="s">
        <v>41</v>
      </c>
      <c r="G12" s="1" t="s">
        <v>36</v>
      </c>
      <c r="H12" s="1" t="s">
        <v>37</v>
      </c>
      <c r="I12" s="1">
        <v>182987</v>
      </c>
      <c r="J12" s="1">
        <v>68034</v>
      </c>
      <c r="K12" s="1">
        <v>22501</v>
      </c>
      <c r="L12" s="1">
        <f t="shared" si="0"/>
        <v>114953</v>
      </c>
      <c r="M12" s="1">
        <f t="shared" si="1"/>
        <v>92452</v>
      </c>
      <c r="N12" s="4">
        <f t="shared" si="2"/>
        <v>50.523807702186495</v>
      </c>
      <c r="O12" s="1">
        <v>78</v>
      </c>
      <c r="P12" s="1">
        <f t="shared" si="3"/>
        <v>106572</v>
      </c>
      <c r="Q12" s="1">
        <v>182987</v>
      </c>
      <c r="R12" s="1">
        <v>76415</v>
      </c>
      <c r="S12" s="1" t="s">
        <v>31</v>
      </c>
      <c r="T12" s="1" t="s">
        <v>32</v>
      </c>
    </row>
    <row r="13" spans="1:20" x14ac:dyDescent="0.3">
      <c r="A13" s="2">
        <v>44938</v>
      </c>
      <c r="B13" s="1" t="s">
        <v>20</v>
      </c>
      <c r="C13" s="1" t="s">
        <v>21</v>
      </c>
      <c r="D13" s="1">
        <v>2023</v>
      </c>
      <c r="E13" s="1" t="s">
        <v>22</v>
      </c>
      <c r="F13" s="1" t="s">
        <v>23</v>
      </c>
      <c r="G13" s="1" t="s">
        <v>24</v>
      </c>
      <c r="H13" s="1" t="s">
        <v>25</v>
      </c>
      <c r="I13" s="1">
        <v>82734</v>
      </c>
      <c r="J13" s="1">
        <v>86773</v>
      </c>
      <c r="K13" s="1">
        <v>22848</v>
      </c>
      <c r="L13" s="1">
        <f t="shared" si="0"/>
        <v>-4039</v>
      </c>
      <c r="M13" s="1">
        <f t="shared" si="1"/>
        <v>-26887</v>
      </c>
      <c r="N13" s="4">
        <f t="shared" si="2"/>
        <v>-32.498126525974811</v>
      </c>
      <c r="O13" s="1">
        <v>41</v>
      </c>
      <c r="P13" s="1">
        <f t="shared" si="3"/>
        <v>64192</v>
      </c>
      <c r="Q13" s="1">
        <v>82734</v>
      </c>
      <c r="R13" s="1">
        <v>18542</v>
      </c>
      <c r="S13" s="1" t="s">
        <v>34</v>
      </c>
      <c r="T13" s="1" t="s">
        <v>27</v>
      </c>
    </row>
    <row r="14" spans="1:20" x14ac:dyDescent="0.3">
      <c r="A14" s="2">
        <v>44939</v>
      </c>
      <c r="B14" s="1" t="s">
        <v>20</v>
      </c>
      <c r="C14" s="1" t="s">
        <v>21</v>
      </c>
      <c r="D14" s="1">
        <v>2023</v>
      </c>
      <c r="E14" s="1" t="s">
        <v>38</v>
      </c>
      <c r="F14" s="1" t="s">
        <v>28</v>
      </c>
      <c r="G14" s="1" t="s">
        <v>24</v>
      </c>
      <c r="H14" s="1" t="s">
        <v>25</v>
      </c>
      <c r="I14" s="1">
        <v>174848</v>
      </c>
      <c r="J14" s="1">
        <v>91132</v>
      </c>
      <c r="K14" s="1">
        <v>33130</v>
      </c>
      <c r="L14" s="1">
        <f t="shared" si="0"/>
        <v>83716</v>
      </c>
      <c r="M14" s="1">
        <f t="shared" si="1"/>
        <v>50586</v>
      </c>
      <c r="N14" s="4">
        <f t="shared" si="2"/>
        <v>28.931414714494874</v>
      </c>
      <c r="O14" s="1">
        <v>30</v>
      </c>
      <c r="P14" s="1">
        <f t="shared" si="3"/>
        <v>91666</v>
      </c>
      <c r="Q14" s="1">
        <v>174848</v>
      </c>
      <c r="R14" s="1">
        <v>83182</v>
      </c>
      <c r="S14" s="1" t="s">
        <v>34</v>
      </c>
      <c r="T14" s="1" t="s">
        <v>32</v>
      </c>
    </row>
    <row r="15" spans="1:20" x14ac:dyDescent="0.3">
      <c r="A15" s="2">
        <v>44940</v>
      </c>
      <c r="B15" s="1" t="s">
        <v>20</v>
      </c>
      <c r="C15" s="1" t="s">
        <v>21</v>
      </c>
      <c r="D15" s="1">
        <v>2023</v>
      </c>
      <c r="E15" s="1" t="s">
        <v>33</v>
      </c>
      <c r="F15" s="1" t="s">
        <v>23</v>
      </c>
      <c r="G15" s="1" t="s">
        <v>29</v>
      </c>
      <c r="H15" s="1" t="s">
        <v>37</v>
      </c>
      <c r="I15" s="1">
        <v>58947</v>
      </c>
      <c r="J15" s="1">
        <v>80735</v>
      </c>
      <c r="K15" s="1">
        <v>27649</v>
      </c>
      <c r="L15" s="1">
        <f t="shared" si="0"/>
        <v>-21788</v>
      </c>
      <c r="M15" s="1">
        <f t="shared" si="1"/>
        <v>-49437</v>
      </c>
      <c r="N15" s="4">
        <f t="shared" si="2"/>
        <v>-83.866863453610875</v>
      </c>
      <c r="O15" s="1">
        <v>90</v>
      </c>
      <c r="P15" s="1">
        <f t="shared" si="3"/>
        <v>113143</v>
      </c>
      <c r="Q15" s="1">
        <v>58947</v>
      </c>
      <c r="R15" s="1">
        <v>-54196</v>
      </c>
      <c r="S15" s="1" t="s">
        <v>31</v>
      </c>
      <c r="T15" s="1" t="s">
        <v>27</v>
      </c>
    </row>
    <row r="16" spans="1:20" x14ac:dyDescent="0.3">
      <c r="A16" s="2">
        <v>44941</v>
      </c>
      <c r="B16" s="1" t="s">
        <v>20</v>
      </c>
      <c r="C16" s="1" t="s">
        <v>21</v>
      </c>
      <c r="D16" s="1">
        <v>2023</v>
      </c>
      <c r="E16" s="1" t="s">
        <v>40</v>
      </c>
      <c r="F16" s="1" t="s">
        <v>28</v>
      </c>
      <c r="G16" s="1" t="s">
        <v>24</v>
      </c>
      <c r="H16" s="1" t="s">
        <v>37</v>
      </c>
      <c r="I16" s="1">
        <v>83730</v>
      </c>
      <c r="J16" s="1">
        <v>43959</v>
      </c>
      <c r="K16" s="1">
        <v>27650</v>
      </c>
      <c r="L16" s="1">
        <f t="shared" si="0"/>
        <v>39771</v>
      </c>
      <c r="M16" s="1">
        <f t="shared" si="1"/>
        <v>12121</v>
      </c>
      <c r="N16" s="4">
        <f t="shared" si="2"/>
        <v>14.476292846052788</v>
      </c>
      <c r="O16" s="1">
        <v>14</v>
      </c>
      <c r="P16" s="1">
        <f t="shared" si="3"/>
        <v>171900</v>
      </c>
      <c r="Q16" s="1">
        <v>83730</v>
      </c>
      <c r="R16" s="1">
        <v>-88170</v>
      </c>
      <c r="S16" s="1" t="s">
        <v>31</v>
      </c>
      <c r="T16" s="1" t="s">
        <v>32</v>
      </c>
    </row>
    <row r="17" spans="1:20" x14ac:dyDescent="0.3">
      <c r="A17" s="2">
        <v>44942</v>
      </c>
      <c r="B17" s="1" t="s">
        <v>20</v>
      </c>
      <c r="C17" s="1" t="s">
        <v>21</v>
      </c>
      <c r="D17" s="1">
        <v>2023</v>
      </c>
      <c r="E17" s="1" t="s">
        <v>33</v>
      </c>
      <c r="F17" s="1" t="s">
        <v>28</v>
      </c>
      <c r="G17" s="1" t="s">
        <v>36</v>
      </c>
      <c r="H17" s="1" t="s">
        <v>39</v>
      </c>
      <c r="I17" s="1">
        <v>109967</v>
      </c>
      <c r="J17" s="1">
        <v>54936</v>
      </c>
      <c r="K17" s="1">
        <v>48120</v>
      </c>
      <c r="L17" s="1">
        <f t="shared" si="0"/>
        <v>55031</v>
      </c>
      <c r="M17" s="1">
        <f t="shared" si="1"/>
        <v>6911</v>
      </c>
      <c r="N17" s="4">
        <f t="shared" si="2"/>
        <v>6.2846126565242297</v>
      </c>
      <c r="O17" s="1">
        <v>44</v>
      </c>
      <c r="P17" s="1">
        <f t="shared" si="3"/>
        <v>154685</v>
      </c>
      <c r="Q17" s="1">
        <v>109967</v>
      </c>
      <c r="R17" s="1">
        <v>-44718</v>
      </c>
      <c r="S17" s="1" t="s">
        <v>26</v>
      </c>
      <c r="T17" s="1" t="s">
        <v>27</v>
      </c>
    </row>
    <row r="18" spans="1:20" x14ac:dyDescent="0.3">
      <c r="A18" s="2">
        <v>44943</v>
      </c>
      <c r="B18" s="1" t="s">
        <v>20</v>
      </c>
      <c r="C18" s="1" t="s">
        <v>21</v>
      </c>
      <c r="D18" s="1">
        <v>2023</v>
      </c>
      <c r="E18" s="1" t="s">
        <v>40</v>
      </c>
      <c r="F18" s="1" t="s">
        <v>35</v>
      </c>
      <c r="G18" s="1" t="s">
        <v>24</v>
      </c>
      <c r="H18" s="1" t="s">
        <v>30</v>
      </c>
      <c r="I18" s="1">
        <v>168530</v>
      </c>
      <c r="J18" s="1">
        <v>38371</v>
      </c>
      <c r="K18" s="1">
        <v>13527</v>
      </c>
      <c r="L18" s="1">
        <f t="shared" si="0"/>
        <v>130159</v>
      </c>
      <c r="M18" s="1">
        <f t="shared" si="1"/>
        <v>116632</v>
      </c>
      <c r="N18" s="4">
        <f t="shared" si="2"/>
        <v>69.205482703376248</v>
      </c>
      <c r="O18" s="1">
        <v>88</v>
      </c>
      <c r="P18" s="1">
        <f t="shared" si="3"/>
        <v>86568</v>
      </c>
      <c r="Q18" s="1">
        <v>168530</v>
      </c>
      <c r="R18" s="1">
        <v>81962</v>
      </c>
      <c r="S18" s="1" t="s">
        <v>31</v>
      </c>
      <c r="T18" s="1" t="s">
        <v>27</v>
      </c>
    </row>
    <row r="19" spans="1:20" x14ac:dyDescent="0.3">
      <c r="A19" s="2">
        <v>44944</v>
      </c>
      <c r="B19" s="1" t="s">
        <v>20</v>
      </c>
      <c r="C19" s="1" t="s">
        <v>21</v>
      </c>
      <c r="D19" s="1">
        <v>2023</v>
      </c>
      <c r="E19" s="1" t="s">
        <v>40</v>
      </c>
      <c r="F19" s="1" t="s">
        <v>28</v>
      </c>
      <c r="G19" s="1" t="s">
        <v>36</v>
      </c>
      <c r="H19" s="1" t="s">
        <v>39</v>
      </c>
      <c r="I19" s="1">
        <v>107252</v>
      </c>
      <c r="J19" s="1">
        <v>60067</v>
      </c>
      <c r="K19" s="1">
        <v>25126</v>
      </c>
      <c r="L19" s="1">
        <f t="shared" si="0"/>
        <v>47185</v>
      </c>
      <c r="M19" s="1">
        <f t="shared" si="1"/>
        <v>22059</v>
      </c>
      <c r="N19" s="4">
        <f t="shared" si="2"/>
        <v>20.567448625666653</v>
      </c>
      <c r="O19" s="1">
        <v>72</v>
      </c>
      <c r="P19" s="1">
        <f t="shared" si="3"/>
        <v>112251</v>
      </c>
      <c r="Q19" s="1">
        <v>107252</v>
      </c>
      <c r="R19" s="1">
        <v>-4999</v>
      </c>
      <c r="S19" s="1" t="s">
        <v>34</v>
      </c>
      <c r="T19" s="1" t="s">
        <v>32</v>
      </c>
    </row>
    <row r="20" spans="1:20" x14ac:dyDescent="0.3">
      <c r="A20" s="2">
        <v>44945</v>
      </c>
      <c r="B20" s="1" t="s">
        <v>20</v>
      </c>
      <c r="C20" s="1" t="s">
        <v>21</v>
      </c>
      <c r="D20" s="1">
        <v>2023</v>
      </c>
      <c r="E20" s="1" t="s">
        <v>33</v>
      </c>
      <c r="F20" s="1" t="s">
        <v>23</v>
      </c>
      <c r="G20" s="1" t="s">
        <v>24</v>
      </c>
      <c r="H20" s="1" t="s">
        <v>25</v>
      </c>
      <c r="I20" s="1">
        <v>159450</v>
      </c>
      <c r="J20" s="1">
        <v>20638</v>
      </c>
      <c r="K20" s="1">
        <v>33711</v>
      </c>
      <c r="L20" s="1">
        <f t="shared" si="0"/>
        <v>138812</v>
      </c>
      <c r="M20" s="1">
        <f t="shared" si="1"/>
        <v>105101</v>
      </c>
      <c r="N20" s="4">
        <f t="shared" si="2"/>
        <v>65.914706804640957</v>
      </c>
      <c r="O20" s="1">
        <v>59</v>
      </c>
      <c r="P20" s="1">
        <f t="shared" si="3"/>
        <v>149501</v>
      </c>
      <c r="Q20" s="1">
        <v>159450</v>
      </c>
      <c r="R20" s="1">
        <v>9949</v>
      </c>
      <c r="S20" s="1" t="s">
        <v>34</v>
      </c>
      <c r="T20" s="1" t="s">
        <v>27</v>
      </c>
    </row>
    <row r="21" spans="1:20" x14ac:dyDescent="0.3">
      <c r="A21" s="2">
        <v>44946</v>
      </c>
      <c r="B21" s="1" t="s">
        <v>20</v>
      </c>
      <c r="C21" s="1" t="s">
        <v>21</v>
      </c>
      <c r="D21" s="1">
        <v>2023</v>
      </c>
      <c r="E21" s="1" t="s">
        <v>38</v>
      </c>
      <c r="F21" s="1" t="s">
        <v>35</v>
      </c>
      <c r="G21" s="1" t="s">
        <v>36</v>
      </c>
      <c r="H21" s="1" t="s">
        <v>25</v>
      </c>
      <c r="I21" s="1">
        <v>133402</v>
      </c>
      <c r="J21" s="1">
        <v>93708</v>
      </c>
      <c r="K21" s="1">
        <v>35052</v>
      </c>
      <c r="L21" s="1">
        <f t="shared" si="0"/>
        <v>39694</v>
      </c>
      <c r="M21" s="1">
        <f t="shared" si="1"/>
        <v>4642</v>
      </c>
      <c r="N21" s="4">
        <f t="shared" si="2"/>
        <v>3.4797079504055408</v>
      </c>
      <c r="O21" s="1">
        <v>55</v>
      </c>
      <c r="P21" s="1">
        <f t="shared" si="3"/>
        <v>83172</v>
      </c>
      <c r="Q21" s="1">
        <v>133402</v>
      </c>
      <c r="R21" s="1">
        <v>50230</v>
      </c>
      <c r="S21" s="1" t="s">
        <v>31</v>
      </c>
      <c r="T21" s="1" t="s">
        <v>32</v>
      </c>
    </row>
    <row r="22" spans="1:20" x14ac:dyDescent="0.3">
      <c r="A22" s="2">
        <v>44947</v>
      </c>
      <c r="B22" s="1" t="s">
        <v>20</v>
      </c>
      <c r="C22" s="1" t="s">
        <v>21</v>
      </c>
      <c r="D22" s="1">
        <v>2023</v>
      </c>
      <c r="E22" s="1" t="s">
        <v>38</v>
      </c>
      <c r="F22" s="1" t="s">
        <v>41</v>
      </c>
      <c r="G22" s="1" t="s">
        <v>24</v>
      </c>
      <c r="H22" s="1" t="s">
        <v>30</v>
      </c>
      <c r="I22" s="1">
        <v>104771</v>
      </c>
      <c r="J22" s="1">
        <v>24241</v>
      </c>
      <c r="K22" s="1">
        <v>29433</v>
      </c>
      <c r="L22" s="1">
        <f t="shared" si="0"/>
        <v>80530</v>
      </c>
      <c r="M22" s="1">
        <f t="shared" si="1"/>
        <v>51097</v>
      </c>
      <c r="N22" s="4">
        <f t="shared" si="2"/>
        <v>48.770174952992718</v>
      </c>
      <c r="O22" s="1">
        <v>90</v>
      </c>
      <c r="P22" s="1">
        <f t="shared" si="3"/>
        <v>70543</v>
      </c>
      <c r="Q22" s="1">
        <v>104771</v>
      </c>
      <c r="R22" s="1">
        <v>34228</v>
      </c>
      <c r="S22" s="1" t="s">
        <v>34</v>
      </c>
      <c r="T22" s="1" t="s">
        <v>27</v>
      </c>
    </row>
    <row r="23" spans="1:20" x14ac:dyDescent="0.3">
      <c r="A23" s="2">
        <v>44948</v>
      </c>
      <c r="B23" s="1" t="s">
        <v>20</v>
      </c>
      <c r="C23" s="1" t="s">
        <v>21</v>
      </c>
      <c r="D23" s="1">
        <v>2023</v>
      </c>
      <c r="E23" s="1" t="s">
        <v>22</v>
      </c>
      <c r="F23" s="1" t="s">
        <v>35</v>
      </c>
      <c r="G23" s="1" t="s">
        <v>24</v>
      </c>
      <c r="H23" s="1" t="s">
        <v>25</v>
      </c>
      <c r="I23" s="1">
        <v>188213</v>
      </c>
      <c r="J23" s="1">
        <v>20384</v>
      </c>
      <c r="K23" s="1">
        <v>15696</v>
      </c>
      <c r="L23" s="1">
        <f t="shared" si="0"/>
        <v>167829</v>
      </c>
      <c r="M23" s="1">
        <f t="shared" si="1"/>
        <v>152133</v>
      </c>
      <c r="N23" s="4">
        <f t="shared" si="2"/>
        <v>80.830229580315915</v>
      </c>
      <c r="O23" s="1">
        <v>83</v>
      </c>
      <c r="P23" s="1">
        <f t="shared" si="3"/>
        <v>76216</v>
      </c>
      <c r="Q23" s="1">
        <v>188213</v>
      </c>
      <c r="R23" s="1">
        <v>111997</v>
      </c>
      <c r="S23" s="1" t="s">
        <v>31</v>
      </c>
      <c r="T23" s="1" t="s">
        <v>32</v>
      </c>
    </row>
    <row r="24" spans="1:20" x14ac:dyDescent="0.3">
      <c r="A24" s="2">
        <v>44949</v>
      </c>
      <c r="B24" s="1" t="s">
        <v>20</v>
      </c>
      <c r="C24" s="1" t="s">
        <v>21</v>
      </c>
      <c r="D24" s="1">
        <v>2023</v>
      </c>
      <c r="E24" s="1" t="s">
        <v>22</v>
      </c>
      <c r="F24" s="1" t="s">
        <v>23</v>
      </c>
      <c r="G24" s="1" t="s">
        <v>24</v>
      </c>
      <c r="H24" s="1" t="s">
        <v>25</v>
      </c>
      <c r="I24" s="1">
        <v>110790</v>
      </c>
      <c r="J24" s="1">
        <v>26190</v>
      </c>
      <c r="K24" s="1">
        <v>16095</v>
      </c>
      <c r="L24" s="1">
        <f t="shared" si="0"/>
        <v>84600</v>
      </c>
      <c r="M24" s="1">
        <f t="shared" si="1"/>
        <v>68505</v>
      </c>
      <c r="N24" s="4">
        <f t="shared" si="2"/>
        <v>61.833197942052529</v>
      </c>
      <c r="O24" s="1">
        <v>27</v>
      </c>
      <c r="P24" s="1">
        <f t="shared" si="3"/>
        <v>155328</v>
      </c>
      <c r="Q24" s="1">
        <v>110790</v>
      </c>
      <c r="R24" s="1">
        <v>-44538</v>
      </c>
      <c r="S24" s="1" t="s">
        <v>31</v>
      </c>
      <c r="T24" s="1" t="s">
        <v>27</v>
      </c>
    </row>
    <row r="25" spans="1:20" x14ac:dyDescent="0.3">
      <c r="A25" s="2">
        <v>44950</v>
      </c>
      <c r="B25" s="1" t="s">
        <v>20</v>
      </c>
      <c r="C25" s="1" t="s">
        <v>21</v>
      </c>
      <c r="D25" s="1">
        <v>2023</v>
      </c>
      <c r="E25" s="1" t="s">
        <v>38</v>
      </c>
      <c r="F25" s="1" t="s">
        <v>41</v>
      </c>
      <c r="G25" s="1" t="s">
        <v>36</v>
      </c>
      <c r="H25" s="1" t="s">
        <v>30</v>
      </c>
      <c r="I25" s="1">
        <v>187571</v>
      </c>
      <c r="J25" s="1">
        <v>46812</v>
      </c>
      <c r="K25" s="1">
        <v>25258</v>
      </c>
      <c r="L25" s="1">
        <f t="shared" si="0"/>
        <v>140759</v>
      </c>
      <c r="M25" s="1">
        <f t="shared" si="1"/>
        <v>115501</v>
      </c>
      <c r="N25" s="4">
        <f t="shared" si="2"/>
        <v>61.577216094172336</v>
      </c>
      <c r="O25" s="1">
        <v>82</v>
      </c>
      <c r="P25" s="1">
        <f t="shared" si="3"/>
        <v>155362</v>
      </c>
      <c r="Q25" s="1">
        <v>187571</v>
      </c>
      <c r="R25" s="1">
        <v>32209</v>
      </c>
      <c r="S25" s="1" t="s">
        <v>34</v>
      </c>
      <c r="T25" s="1" t="s">
        <v>27</v>
      </c>
    </row>
    <row r="26" spans="1:20" x14ac:dyDescent="0.3">
      <c r="A26" s="2">
        <v>44951</v>
      </c>
      <c r="B26" s="1" t="s">
        <v>20</v>
      </c>
      <c r="C26" s="1" t="s">
        <v>21</v>
      </c>
      <c r="D26" s="1">
        <v>2023</v>
      </c>
      <c r="E26" s="1" t="s">
        <v>22</v>
      </c>
      <c r="F26" s="1" t="s">
        <v>41</v>
      </c>
      <c r="G26" s="1" t="s">
        <v>29</v>
      </c>
      <c r="H26" s="1" t="s">
        <v>25</v>
      </c>
      <c r="I26" s="1">
        <v>62725</v>
      </c>
      <c r="J26" s="1">
        <v>71811</v>
      </c>
      <c r="K26" s="1">
        <v>35222</v>
      </c>
      <c r="L26" s="1">
        <f t="shared" si="0"/>
        <v>-9086</v>
      </c>
      <c r="M26" s="1">
        <f t="shared" si="1"/>
        <v>-44308</v>
      </c>
      <c r="N26" s="4">
        <f t="shared" si="2"/>
        <v>-70.638501394978078</v>
      </c>
      <c r="O26" s="1">
        <v>81</v>
      </c>
      <c r="P26" s="1">
        <f t="shared" si="3"/>
        <v>78802</v>
      </c>
      <c r="Q26" s="1">
        <v>62725</v>
      </c>
      <c r="R26" s="1">
        <v>-16077</v>
      </c>
      <c r="S26" s="1" t="s">
        <v>31</v>
      </c>
      <c r="T26" s="1" t="s">
        <v>27</v>
      </c>
    </row>
    <row r="27" spans="1:20" x14ac:dyDescent="0.3">
      <c r="A27" s="2">
        <v>44952</v>
      </c>
      <c r="B27" s="1" t="s">
        <v>20</v>
      </c>
      <c r="C27" s="1" t="s">
        <v>21</v>
      </c>
      <c r="D27" s="1">
        <v>2023</v>
      </c>
      <c r="E27" s="1" t="s">
        <v>22</v>
      </c>
      <c r="F27" s="1" t="s">
        <v>35</v>
      </c>
      <c r="G27" s="1" t="s">
        <v>24</v>
      </c>
      <c r="H27" s="1" t="s">
        <v>25</v>
      </c>
      <c r="I27" s="1">
        <v>83353</v>
      </c>
      <c r="J27" s="1">
        <v>93207</v>
      </c>
      <c r="K27" s="1">
        <v>11933</v>
      </c>
      <c r="L27" s="1">
        <f t="shared" si="0"/>
        <v>-9854</v>
      </c>
      <c r="M27" s="1">
        <f t="shared" si="1"/>
        <v>-21787</v>
      </c>
      <c r="N27" s="4">
        <f t="shared" si="2"/>
        <v>-26.138231377394934</v>
      </c>
      <c r="O27" s="1">
        <v>27</v>
      </c>
      <c r="P27" s="1">
        <f t="shared" si="3"/>
        <v>176171</v>
      </c>
      <c r="Q27" s="1">
        <v>83353</v>
      </c>
      <c r="R27" s="1">
        <v>-92818</v>
      </c>
      <c r="S27" s="1" t="s">
        <v>26</v>
      </c>
      <c r="T27" s="1" t="s">
        <v>27</v>
      </c>
    </row>
    <row r="28" spans="1:20" x14ac:dyDescent="0.3">
      <c r="A28" s="2">
        <v>44953</v>
      </c>
      <c r="B28" s="1" t="s">
        <v>20</v>
      </c>
      <c r="C28" s="1" t="s">
        <v>21</v>
      </c>
      <c r="D28" s="1">
        <v>2023</v>
      </c>
      <c r="E28" s="1" t="s">
        <v>33</v>
      </c>
      <c r="F28" s="1" t="s">
        <v>41</v>
      </c>
      <c r="G28" s="1" t="s">
        <v>36</v>
      </c>
      <c r="H28" s="1" t="s">
        <v>37</v>
      </c>
      <c r="I28" s="1">
        <v>90084</v>
      </c>
      <c r="J28" s="1">
        <v>70804</v>
      </c>
      <c r="K28" s="1">
        <v>38593</v>
      </c>
      <c r="L28" s="1">
        <f t="shared" si="0"/>
        <v>19280</v>
      </c>
      <c r="M28" s="1">
        <f t="shared" si="1"/>
        <v>-19313</v>
      </c>
      <c r="N28" s="4">
        <f t="shared" si="2"/>
        <v>-21.438879268238534</v>
      </c>
      <c r="O28" s="1">
        <v>56</v>
      </c>
      <c r="P28" s="1">
        <f t="shared" si="3"/>
        <v>151938</v>
      </c>
      <c r="Q28" s="1">
        <v>90084</v>
      </c>
      <c r="R28" s="1">
        <v>-61854</v>
      </c>
      <c r="S28" s="1" t="s">
        <v>31</v>
      </c>
      <c r="T28" s="1" t="s">
        <v>27</v>
      </c>
    </row>
    <row r="29" spans="1:20" x14ac:dyDescent="0.3">
      <c r="A29" s="2">
        <v>44954</v>
      </c>
      <c r="B29" s="1" t="s">
        <v>20</v>
      </c>
      <c r="C29" s="1" t="s">
        <v>21</v>
      </c>
      <c r="D29" s="1">
        <v>2023</v>
      </c>
      <c r="E29" s="1" t="s">
        <v>40</v>
      </c>
      <c r="F29" s="1" t="s">
        <v>35</v>
      </c>
      <c r="G29" s="1" t="s">
        <v>36</v>
      </c>
      <c r="H29" s="1" t="s">
        <v>39</v>
      </c>
      <c r="I29" s="1">
        <v>87552</v>
      </c>
      <c r="J29" s="1">
        <v>55376</v>
      </c>
      <c r="K29" s="1">
        <v>31642</v>
      </c>
      <c r="L29" s="1">
        <f t="shared" si="0"/>
        <v>32176</v>
      </c>
      <c r="M29" s="1">
        <f t="shared" si="1"/>
        <v>534</v>
      </c>
      <c r="N29" s="4">
        <f t="shared" si="2"/>
        <v>0.6099232456140351</v>
      </c>
      <c r="O29" s="1">
        <v>35</v>
      </c>
      <c r="P29" s="1">
        <f t="shared" si="3"/>
        <v>135974</v>
      </c>
      <c r="Q29" s="1">
        <v>87552</v>
      </c>
      <c r="R29" s="1">
        <v>-48422</v>
      </c>
      <c r="S29" s="1" t="s">
        <v>26</v>
      </c>
      <c r="T29" s="1" t="s">
        <v>32</v>
      </c>
    </row>
    <row r="30" spans="1:20" x14ac:dyDescent="0.3">
      <c r="A30" s="2">
        <v>44955</v>
      </c>
      <c r="B30" s="1" t="s">
        <v>20</v>
      </c>
      <c r="C30" s="1" t="s">
        <v>21</v>
      </c>
      <c r="D30" s="1">
        <v>2023</v>
      </c>
      <c r="E30" s="1" t="s">
        <v>33</v>
      </c>
      <c r="F30" s="1" t="s">
        <v>28</v>
      </c>
      <c r="G30" s="1" t="s">
        <v>24</v>
      </c>
      <c r="H30" s="1" t="s">
        <v>30</v>
      </c>
      <c r="I30" s="1">
        <v>181100</v>
      </c>
      <c r="J30" s="1">
        <v>41029</v>
      </c>
      <c r="K30" s="1">
        <v>15663</v>
      </c>
      <c r="L30" s="1">
        <f t="shared" si="0"/>
        <v>140071</v>
      </c>
      <c r="M30" s="1">
        <f t="shared" si="1"/>
        <v>124408</v>
      </c>
      <c r="N30" s="4">
        <f t="shared" si="2"/>
        <v>68.695748205411377</v>
      </c>
      <c r="O30" s="1">
        <v>70</v>
      </c>
      <c r="P30" s="1">
        <f t="shared" si="3"/>
        <v>61913</v>
      </c>
      <c r="Q30" s="1">
        <v>181100</v>
      </c>
      <c r="R30" s="1">
        <v>119187</v>
      </c>
      <c r="S30" s="1" t="s">
        <v>31</v>
      </c>
      <c r="T30" s="1" t="s">
        <v>32</v>
      </c>
    </row>
    <row r="31" spans="1:20" x14ac:dyDescent="0.3">
      <c r="A31" s="2">
        <v>44956</v>
      </c>
      <c r="B31" s="1" t="s">
        <v>20</v>
      </c>
      <c r="C31" s="1" t="s">
        <v>21</v>
      </c>
      <c r="D31" s="1">
        <v>2023</v>
      </c>
      <c r="E31" s="1" t="s">
        <v>33</v>
      </c>
      <c r="F31" s="1" t="s">
        <v>41</v>
      </c>
      <c r="G31" s="1" t="s">
        <v>29</v>
      </c>
      <c r="H31" s="1" t="s">
        <v>37</v>
      </c>
      <c r="I31" s="1">
        <v>198740</v>
      </c>
      <c r="J31" s="1">
        <v>76475</v>
      </c>
      <c r="K31" s="1">
        <v>47294</v>
      </c>
      <c r="L31" s="1">
        <f t="shared" si="0"/>
        <v>122265</v>
      </c>
      <c r="M31" s="1">
        <f t="shared" si="1"/>
        <v>74971</v>
      </c>
      <c r="N31" s="4">
        <f t="shared" si="2"/>
        <v>37.723155882056957</v>
      </c>
      <c r="O31" s="1">
        <v>87</v>
      </c>
      <c r="P31" s="1">
        <f t="shared" si="3"/>
        <v>119237</v>
      </c>
      <c r="Q31" s="1">
        <v>198740</v>
      </c>
      <c r="R31" s="1">
        <v>79503</v>
      </c>
      <c r="S31" s="1" t="s">
        <v>31</v>
      </c>
      <c r="T31" s="1" t="s">
        <v>27</v>
      </c>
    </row>
    <row r="32" spans="1:20" x14ac:dyDescent="0.3">
      <c r="A32" s="2">
        <v>44957</v>
      </c>
      <c r="B32" s="1" t="s">
        <v>20</v>
      </c>
      <c r="C32" s="1" t="s">
        <v>21</v>
      </c>
      <c r="D32" s="1">
        <v>2023</v>
      </c>
      <c r="E32" s="1" t="s">
        <v>38</v>
      </c>
      <c r="F32" s="1" t="s">
        <v>28</v>
      </c>
      <c r="G32" s="1" t="s">
        <v>29</v>
      </c>
      <c r="H32" s="1" t="s">
        <v>25</v>
      </c>
      <c r="I32" s="1">
        <v>184601</v>
      </c>
      <c r="J32" s="1">
        <v>44493</v>
      </c>
      <c r="K32" s="1">
        <v>17060</v>
      </c>
      <c r="L32" s="1">
        <f t="shared" si="0"/>
        <v>140108</v>
      </c>
      <c r="M32" s="1">
        <f t="shared" si="1"/>
        <v>123048</v>
      </c>
      <c r="N32" s="4">
        <f t="shared" si="2"/>
        <v>66.656193628420212</v>
      </c>
      <c r="O32" s="1">
        <v>95</v>
      </c>
      <c r="P32" s="1">
        <f t="shared" si="3"/>
        <v>154214</v>
      </c>
      <c r="Q32" s="1">
        <v>184601</v>
      </c>
      <c r="R32" s="1">
        <v>30387</v>
      </c>
      <c r="S32" s="1" t="s">
        <v>34</v>
      </c>
      <c r="T32" s="1" t="s">
        <v>32</v>
      </c>
    </row>
    <row r="33" spans="1:20" x14ac:dyDescent="0.3">
      <c r="A33" s="2">
        <v>44958</v>
      </c>
      <c r="B33" s="1" t="s">
        <v>42</v>
      </c>
      <c r="C33" s="1" t="s">
        <v>21</v>
      </c>
      <c r="D33" s="1">
        <v>2023</v>
      </c>
      <c r="E33" s="1" t="s">
        <v>33</v>
      </c>
      <c r="F33" s="1" t="s">
        <v>23</v>
      </c>
      <c r="G33" s="1" t="s">
        <v>29</v>
      </c>
      <c r="H33" s="1" t="s">
        <v>37</v>
      </c>
      <c r="I33" s="1">
        <v>112432</v>
      </c>
      <c r="J33" s="1">
        <v>84614</v>
      </c>
      <c r="K33" s="1">
        <v>39686</v>
      </c>
      <c r="L33" s="1">
        <f t="shared" si="0"/>
        <v>27818</v>
      </c>
      <c r="M33" s="1">
        <f t="shared" si="1"/>
        <v>-11868</v>
      </c>
      <c r="N33" s="4">
        <f t="shared" si="2"/>
        <v>-10.55571367582183</v>
      </c>
      <c r="O33" s="1">
        <v>100</v>
      </c>
      <c r="P33" s="1">
        <f t="shared" si="3"/>
        <v>159332</v>
      </c>
      <c r="Q33" s="1">
        <v>112432</v>
      </c>
      <c r="R33" s="1">
        <v>-46900</v>
      </c>
      <c r="S33" s="1" t="s">
        <v>34</v>
      </c>
      <c r="T33" s="1" t="s">
        <v>32</v>
      </c>
    </row>
    <row r="34" spans="1:20" x14ac:dyDescent="0.3">
      <c r="A34" s="2">
        <v>44959</v>
      </c>
      <c r="B34" s="1" t="s">
        <v>42</v>
      </c>
      <c r="C34" s="1" t="s">
        <v>21</v>
      </c>
      <c r="D34" s="1">
        <v>2023</v>
      </c>
      <c r="E34" s="1" t="s">
        <v>38</v>
      </c>
      <c r="F34" s="1" t="s">
        <v>35</v>
      </c>
      <c r="G34" s="1" t="s">
        <v>24</v>
      </c>
      <c r="H34" s="1" t="s">
        <v>30</v>
      </c>
      <c r="I34" s="1">
        <v>168293</v>
      </c>
      <c r="J34" s="1">
        <v>71423</v>
      </c>
      <c r="K34" s="1">
        <v>14954</v>
      </c>
      <c r="L34" s="1">
        <f t="shared" si="0"/>
        <v>96870</v>
      </c>
      <c r="M34" s="1">
        <f t="shared" si="1"/>
        <v>81916</v>
      </c>
      <c r="N34" s="4">
        <f t="shared" si="2"/>
        <v>48.674632931851001</v>
      </c>
      <c r="O34" s="1">
        <v>52</v>
      </c>
      <c r="P34" s="1">
        <f t="shared" si="3"/>
        <v>176856</v>
      </c>
      <c r="Q34" s="1">
        <v>168293</v>
      </c>
      <c r="R34" s="1">
        <v>-8563</v>
      </c>
      <c r="S34" s="1" t="s">
        <v>34</v>
      </c>
      <c r="T34" s="1" t="s">
        <v>27</v>
      </c>
    </row>
    <row r="35" spans="1:20" x14ac:dyDescent="0.3">
      <c r="A35" s="2">
        <v>44960</v>
      </c>
      <c r="B35" s="1" t="s">
        <v>42</v>
      </c>
      <c r="C35" s="1" t="s">
        <v>21</v>
      </c>
      <c r="D35" s="1">
        <v>2023</v>
      </c>
      <c r="E35" s="1" t="s">
        <v>22</v>
      </c>
      <c r="F35" s="1" t="s">
        <v>35</v>
      </c>
      <c r="G35" s="1" t="s">
        <v>36</v>
      </c>
      <c r="H35" s="1" t="s">
        <v>39</v>
      </c>
      <c r="I35" s="1">
        <v>87244</v>
      </c>
      <c r="J35" s="1">
        <v>84395</v>
      </c>
      <c r="K35" s="1">
        <v>15627</v>
      </c>
      <c r="L35" s="1">
        <f t="shared" si="0"/>
        <v>2849</v>
      </c>
      <c r="M35" s="1">
        <f t="shared" si="1"/>
        <v>-12778</v>
      </c>
      <c r="N35" s="4">
        <f t="shared" si="2"/>
        <v>-14.6462794003026</v>
      </c>
      <c r="O35" s="1">
        <v>94</v>
      </c>
      <c r="P35" s="1">
        <f t="shared" si="3"/>
        <v>66782</v>
      </c>
      <c r="Q35" s="1">
        <v>87244</v>
      </c>
      <c r="R35" s="1">
        <v>20462</v>
      </c>
      <c r="S35" s="1" t="s">
        <v>31</v>
      </c>
      <c r="T35" s="1" t="s">
        <v>32</v>
      </c>
    </row>
    <row r="36" spans="1:20" x14ac:dyDescent="0.3">
      <c r="A36" s="2">
        <v>44961</v>
      </c>
      <c r="B36" s="1" t="s">
        <v>42</v>
      </c>
      <c r="C36" s="1" t="s">
        <v>21</v>
      </c>
      <c r="D36" s="1">
        <v>2023</v>
      </c>
      <c r="E36" s="1" t="s">
        <v>22</v>
      </c>
      <c r="F36" s="1" t="s">
        <v>41</v>
      </c>
      <c r="G36" s="1" t="s">
        <v>24</v>
      </c>
      <c r="H36" s="1" t="s">
        <v>39</v>
      </c>
      <c r="I36" s="1">
        <v>122243</v>
      </c>
      <c r="J36" s="1">
        <v>69204</v>
      </c>
      <c r="K36" s="1">
        <v>17350</v>
      </c>
      <c r="L36" s="1">
        <f t="shared" si="0"/>
        <v>53039</v>
      </c>
      <c r="M36" s="1">
        <f t="shared" si="1"/>
        <v>35689</v>
      </c>
      <c r="N36" s="4">
        <f t="shared" si="2"/>
        <v>29.195127737375554</v>
      </c>
      <c r="O36" s="1">
        <v>62</v>
      </c>
      <c r="P36" s="1">
        <f t="shared" si="3"/>
        <v>83501</v>
      </c>
      <c r="Q36" s="1">
        <v>122243</v>
      </c>
      <c r="R36" s="1">
        <v>38742</v>
      </c>
      <c r="S36" s="1" t="s">
        <v>31</v>
      </c>
      <c r="T36" s="1" t="s">
        <v>32</v>
      </c>
    </row>
    <row r="37" spans="1:20" x14ac:dyDescent="0.3">
      <c r="A37" s="2">
        <v>44962</v>
      </c>
      <c r="B37" s="1" t="s">
        <v>42</v>
      </c>
      <c r="C37" s="1" t="s">
        <v>21</v>
      </c>
      <c r="D37" s="1">
        <v>2023</v>
      </c>
      <c r="E37" s="1" t="s">
        <v>38</v>
      </c>
      <c r="F37" s="1" t="s">
        <v>35</v>
      </c>
      <c r="G37" s="1" t="s">
        <v>24</v>
      </c>
      <c r="H37" s="1" t="s">
        <v>25</v>
      </c>
      <c r="I37" s="1">
        <v>135962</v>
      </c>
      <c r="J37" s="1">
        <v>99216</v>
      </c>
      <c r="K37" s="1">
        <v>25464</v>
      </c>
      <c r="L37" s="1">
        <f t="shared" si="0"/>
        <v>36746</v>
      </c>
      <c r="M37" s="1">
        <f t="shared" si="1"/>
        <v>11282</v>
      </c>
      <c r="N37" s="4">
        <f t="shared" si="2"/>
        <v>8.2979067680675485</v>
      </c>
      <c r="O37" s="1">
        <v>76</v>
      </c>
      <c r="P37" s="1">
        <f t="shared" si="3"/>
        <v>133155</v>
      </c>
      <c r="Q37" s="1">
        <v>135962</v>
      </c>
      <c r="R37" s="1">
        <v>2807</v>
      </c>
      <c r="S37" s="1" t="s">
        <v>31</v>
      </c>
      <c r="T37" s="1" t="s">
        <v>32</v>
      </c>
    </row>
    <row r="38" spans="1:20" x14ac:dyDescent="0.3">
      <c r="A38" s="2">
        <v>44963</v>
      </c>
      <c r="B38" s="1" t="s">
        <v>42</v>
      </c>
      <c r="C38" s="1" t="s">
        <v>21</v>
      </c>
      <c r="D38" s="1">
        <v>2023</v>
      </c>
      <c r="E38" s="1" t="s">
        <v>38</v>
      </c>
      <c r="F38" s="1" t="s">
        <v>41</v>
      </c>
      <c r="G38" s="1" t="s">
        <v>24</v>
      </c>
      <c r="H38" s="1" t="s">
        <v>37</v>
      </c>
      <c r="I38" s="1">
        <v>185755</v>
      </c>
      <c r="J38" s="1">
        <v>61679</v>
      </c>
      <c r="K38" s="1">
        <v>34355</v>
      </c>
      <c r="L38" s="1">
        <f t="shared" si="0"/>
        <v>124076</v>
      </c>
      <c r="M38" s="1">
        <f t="shared" si="1"/>
        <v>89721</v>
      </c>
      <c r="N38" s="4">
        <f t="shared" si="2"/>
        <v>48.30071868859519</v>
      </c>
      <c r="O38" s="1">
        <v>16</v>
      </c>
      <c r="P38" s="1">
        <f t="shared" si="3"/>
        <v>102640</v>
      </c>
      <c r="Q38" s="1">
        <v>185755</v>
      </c>
      <c r="R38" s="1">
        <v>83115</v>
      </c>
      <c r="S38" s="1" t="s">
        <v>26</v>
      </c>
      <c r="T38" s="1" t="s">
        <v>32</v>
      </c>
    </row>
    <row r="39" spans="1:20" x14ac:dyDescent="0.3">
      <c r="A39" s="2">
        <v>44964</v>
      </c>
      <c r="B39" s="1" t="s">
        <v>42</v>
      </c>
      <c r="C39" s="1" t="s">
        <v>21</v>
      </c>
      <c r="D39" s="1">
        <v>2023</v>
      </c>
      <c r="E39" s="1" t="s">
        <v>22</v>
      </c>
      <c r="F39" s="1" t="s">
        <v>23</v>
      </c>
      <c r="G39" s="1" t="s">
        <v>36</v>
      </c>
      <c r="H39" s="1" t="s">
        <v>39</v>
      </c>
      <c r="I39" s="1">
        <v>154925</v>
      </c>
      <c r="J39" s="1">
        <v>73584</v>
      </c>
      <c r="K39" s="1">
        <v>29527</v>
      </c>
      <c r="L39" s="1">
        <f t="shared" si="0"/>
        <v>81341</v>
      </c>
      <c r="M39" s="1">
        <f t="shared" si="1"/>
        <v>51814</v>
      </c>
      <c r="N39" s="4">
        <f t="shared" si="2"/>
        <v>33.444569953203164</v>
      </c>
      <c r="O39" s="1">
        <v>23</v>
      </c>
      <c r="P39" s="1">
        <f t="shared" si="3"/>
        <v>87414</v>
      </c>
      <c r="Q39" s="1">
        <v>154925</v>
      </c>
      <c r="R39" s="1">
        <v>67511</v>
      </c>
      <c r="S39" s="1" t="s">
        <v>34</v>
      </c>
      <c r="T39" s="1" t="s">
        <v>32</v>
      </c>
    </row>
    <row r="40" spans="1:20" x14ac:dyDescent="0.3">
      <c r="A40" s="2">
        <v>44965</v>
      </c>
      <c r="B40" s="1" t="s">
        <v>42</v>
      </c>
      <c r="C40" s="1" t="s">
        <v>21</v>
      </c>
      <c r="D40" s="1">
        <v>2023</v>
      </c>
      <c r="E40" s="1" t="s">
        <v>38</v>
      </c>
      <c r="F40" s="1" t="s">
        <v>23</v>
      </c>
      <c r="G40" s="1" t="s">
        <v>29</v>
      </c>
      <c r="H40" s="1" t="s">
        <v>39</v>
      </c>
      <c r="I40" s="1">
        <v>100494</v>
      </c>
      <c r="J40" s="1">
        <v>27104</v>
      </c>
      <c r="K40" s="1">
        <v>29608</v>
      </c>
      <c r="L40" s="1">
        <f t="shared" si="0"/>
        <v>73390</v>
      </c>
      <c r="M40" s="1">
        <f t="shared" si="1"/>
        <v>43782</v>
      </c>
      <c r="N40" s="4">
        <f t="shared" si="2"/>
        <v>43.566780106274997</v>
      </c>
      <c r="O40" s="1">
        <v>59</v>
      </c>
      <c r="P40" s="1">
        <f t="shared" si="3"/>
        <v>60684</v>
      </c>
      <c r="Q40" s="1">
        <v>100494</v>
      </c>
      <c r="R40" s="1">
        <v>39810</v>
      </c>
      <c r="S40" s="1" t="s">
        <v>26</v>
      </c>
      <c r="T40" s="1" t="s">
        <v>27</v>
      </c>
    </row>
    <row r="41" spans="1:20" x14ac:dyDescent="0.3">
      <c r="A41" s="2">
        <v>44966</v>
      </c>
      <c r="B41" s="1" t="s">
        <v>42</v>
      </c>
      <c r="C41" s="1" t="s">
        <v>21</v>
      </c>
      <c r="D41" s="1">
        <v>2023</v>
      </c>
      <c r="E41" s="1" t="s">
        <v>40</v>
      </c>
      <c r="F41" s="1" t="s">
        <v>23</v>
      </c>
      <c r="G41" s="1" t="s">
        <v>29</v>
      </c>
      <c r="H41" s="1" t="s">
        <v>39</v>
      </c>
      <c r="I41" s="1">
        <v>61932</v>
      </c>
      <c r="J41" s="1">
        <v>88716</v>
      </c>
      <c r="K41" s="1">
        <v>22508</v>
      </c>
      <c r="L41" s="1">
        <f t="shared" si="0"/>
        <v>-26784</v>
      </c>
      <c r="M41" s="1">
        <f t="shared" si="1"/>
        <v>-49292</v>
      </c>
      <c r="N41" s="4">
        <f t="shared" si="2"/>
        <v>-79.590518633339798</v>
      </c>
      <c r="O41" s="1">
        <v>92</v>
      </c>
      <c r="P41" s="1">
        <f t="shared" si="3"/>
        <v>154625</v>
      </c>
      <c r="Q41" s="1">
        <v>61932</v>
      </c>
      <c r="R41" s="1">
        <v>-92693</v>
      </c>
      <c r="S41" s="1" t="s">
        <v>26</v>
      </c>
      <c r="T41" s="1" t="s">
        <v>32</v>
      </c>
    </row>
    <row r="42" spans="1:20" x14ac:dyDescent="0.3">
      <c r="A42" s="2">
        <v>44967</v>
      </c>
      <c r="B42" s="1" t="s">
        <v>42</v>
      </c>
      <c r="C42" s="1" t="s">
        <v>21</v>
      </c>
      <c r="D42" s="1">
        <v>2023</v>
      </c>
      <c r="E42" s="1" t="s">
        <v>22</v>
      </c>
      <c r="F42" s="1" t="s">
        <v>23</v>
      </c>
      <c r="G42" s="1" t="s">
        <v>29</v>
      </c>
      <c r="H42" s="1" t="s">
        <v>30</v>
      </c>
      <c r="I42" s="1">
        <v>152822</v>
      </c>
      <c r="J42" s="1">
        <v>81676</v>
      </c>
      <c r="K42" s="1">
        <v>28212</v>
      </c>
      <c r="L42" s="1">
        <f t="shared" si="0"/>
        <v>71146</v>
      </c>
      <c r="M42" s="1">
        <f t="shared" si="1"/>
        <v>42934</v>
      </c>
      <c r="N42" s="4">
        <f t="shared" si="2"/>
        <v>28.09412257397495</v>
      </c>
      <c r="O42" s="1">
        <v>46</v>
      </c>
      <c r="P42" s="1">
        <f t="shared" si="3"/>
        <v>62725</v>
      </c>
      <c r="Q42" s="1">
        <v>152822</v>
      </c>
      <c r="R42" s="1">
        <v>90097</v>
      </c>
      <c r="S42" s="1" t="s">
        <v>26</v>
      </c>
      <c r="T42" s="1" t="s">
        <v>27</v>
      </c>
    </row>
    <row r="43" spans="1:20" x14ac:dyDescent="0.3">
      <c r="A43" s="2">
        <v>44968</v>
      </c>
      <c r="B43" s="1" t="s">
        <v>42</v>
      </c>
      <c r="C43" s="1" t="s">
        <v>21</v>
      </c>
      <c r="D43" s="1">
        <v>2023</v>
      </c>
      <c r="E43" s="1" t="s">
        <v>38</v>
      </c>
      <c r="F43" s="1" t="s">
        <v>28</v>
      </c>
      <c r="G43" s="1" t="s">
        <v>29</v>
      </c>
      <c r="H43" s="1" t="s">
        <v>39</v>
      </c>
      <c r="I43" s="1">
        <v>89011</v>
      </c>
      <c r="J43" s="1">
        <v>95449</v>
      </c>
      <c r="K43" s="1">
        <v>30704</v>
      </c>
      <c r="L43" s="1">
        <f t="shared" si="0"/>
        <v>-6438</v>
      </c>
      <c r="M43" s="1">
        <f t="shared" si="1"/>
        <v>-37142</v>
      </c>
      <c r="N43" s="4">
        <f t="shared" si="2"/>
        <v>-41.727426947231237</v>
      </c>
      <c r="O43" s="1">
        <v>56</v>
      </c>
      <c r="P43" s="1">
        <f t="shared" si="3"/>
        <v>157793</v>
      </c>
      <c r="Q43" s="1">
        <v>89011</v>
      </c>
      <c r="R43" s="1">
        <v>-68782</v>
      </c>
      <c r="S43" s="1" t="s">
        <v>26</v>
      </c>
      <c r="T43" s="1" t="s">
        <v>27</v>
      </c>
    </row>
    <row r="44" spans="1:20" x14ac:dyDescent="0.3">
      <c r="A44" s="2">
        <v>44969</v>
      </c>
      <c r="B44" s="1" t="s">
        <v>42</v>
      </c>
      <c r="C44" s="1" t="s">
        <v>21</v>
      </c>
      <c r="D44" s="1">
        <v>2023</v>
      </c>
      <c r="E44" s="1" t="s">
        <v>22</v>
      </c>
      <c r="F44" s="1" t="s">
        <v>41</v>
      </c>
      <c r="G44" s="1" t="s">
        <v>24</v>
      </c>
      <c r="H44" s="1" t="s">
        <v>25</v>
      </c>
      <c r="I44" s="1">
        <v>166680</v>
      </c>
      <c r="J44" s="1">
        <v>57843</v>
      </c>
      <c r="K44" s="1">
        <v>22725</v>
      </c>
      <c r="L44" s="1">
        <f t="shared" si="0"/>
        <v>108837</v>
      </c>
      <c r="M44" s="1">
        <f t="shared" si="1"/>
        <v>86112</v>
      </c>
      <c r="N44" s="4">
        <f t="shared" si="2"/>
        <v>51.663066954643632</v>
      </c>
      <c r="O44" s="1">
        <v>75</v>
      </c>
      <c r="P44" s="1">
        <f t="shared" si="3"/>
        <v>72898</v>
      </c>
      <c r="Q44" s="1">
        <v>166680</v>
      </c>
      <c r="R44" s="1">
        <v>93782</v>
      </c>
      <c r="S44" s="1" t="s">
        <v>34</v>
      </c>
      <c r="T44" s="1" t="s">
        <v>27</v>
      </c>
    </row>
    <row r="45" spans="1:20" x14ac:dyDescent="0.3">
      <c r="A45" s="2">
        <v>44970</v>
      </c>
      <c r="B45" s="1" t="s">
        <v>42</v>
      </c>
      <c r="C45" s="1" t="s">
        <v>21</v>
      </c>
      <c r="D45" s="1">
        <v>2023</v>
      </c>
      <c r="E45" s="1" t="s">
        <v>38</v>
      </c>
      <c r="F45" s="1" t="s">
        <v>35</v>
      </c>
      <c r="G45" s="1" t="s">
        <v>29</v>
      </c>
      <c r="H45" s="1" t="s">
        <v>37</v>
      </c>
      <c r="I45" s="1">
        <v>182648</v>
      </c>
      <c r="J45" s="1">
        <v>85504</v>
      </c>
      <c r="K45" s="1">
        <v>41245</v>
      </c>
      <c r="L45" s="1">
        <f t="shared" si="0"/>
        <v>97144</v>
      </c>
      <c r="M45" s="1">
        <f t="shared" si="1"/>
        <v>55899</v>
      </c>
      <c r="N45" s="4">
        <f t="shared" si="2"/>
        <v>30.604769830493627</v>
      </c>
      <c r="O45" s="1">
        <v>16</v>
      </c>
      <c r="P45" s="1">
        <f t="shared" si="3"/>
        <v>115019</v>
      </c>
      <c r="Q45" s="1">
        <v>182648</v>
      </c>
      <c r="R45" s="1">
        <v>67629</v>
      </c>
      <c r="S45" s="1" t="s">
        <v>31</v>
      </c>
      <c r="T45" s="1" t="s">
        <v>32</v>
      </c>
    </row>
    <row r="46" spans="1:20" x14ac:dyDescent="0.3">
      <c r="A46" s="2">
        <v>44971</v>
      </c>
      <c r="B46" s="1" t="s">
        <v>42</v>
      </c>
      <c r="C46" s="1" t="s">
        <v>21</v>
      </c>
      <c r="D46" s="1">
        <v>2023</v>
      </c>
      <c r="E46" s="1" t="s">
        <v>40</v>
      </c>
      <c r="F46" s="1" t="s">
        <v>28</v>
      </c>
      <c r="G46" s="1" t="s">
        <v>24</v>
      </c>
      <c r="H46" s="1" t="s">
        <v>39</v>
      </c>
      <c r="I46" s="1">
        <v>160965</v>
      </c>
      <c r="J46" s="1">
        <v>70490</v>
      </c>
      <c r="K46" s="1">
        <v>13034</v>
      </c>
      <c r="L46" s="1">
        <f t="shared" si="0"/>
        <v>90475</v>
      </c>
      <c r="M46" s="1">
        <f t="shared" si="1"/>
        <v>77441</v>
      </c>
      <c r="N46" s="4">
        <f t="shared" si="2"/>
        <v>48.110458795390301</v>
      </c>
      <c r="O46" s="1">
        <v>17</v>
      </c>
      <c r="P46" s="1">
        <f t="shared" si="3"/>
        <v>105941</v>
      </c>
      <c r="Q46" s="1">
        <v>160965</v>
      </c>
      <c r="R46" s="1">
        <v>55024</v>
      </c>
      <c r="S46" s="1" t="s">
        <v>31</v>
      </c>
      <c r="T46" s="1" t="s">
        <v>27</v>
      </c>
    </row>
    <row r="47" spans="1:20" x14ac:dyDescent="0.3">
      <c r="A47" s="2">
        <v>44972</v>
      </c>
      <c r="B47" s="1" t="s">
        <v>42</v>
      </c>
      <c r="C47" s="1" t="s">
        <v>21</v>
      </c>
      <c r="D47" s="1">
        <v>2023</v>
      </c>
      <c r="E47" s="1" t="s">
        <v>38</v>
      </c>
      <c r="F47" s="1" t="s">
        <v>35</v>
      </c>
      <c r="G47" s="1" t="s">
        <v>36</v>
      </c>
      <c r="H47" s="1" t="s">
        <v>30</v>
      </c>
      <c r="I47" s="1">
        <v>118540</v>
      </c>
      <c r="J47" s="1">
        <v>52999</v>
      </c>
      <c r="K47" s="1">
        <v>22993</v>
      </c>
      <c r="L47" s="1">
        <f t="shared" si="0"/>
        <v>65541</v>
      </c>
      <c r="M47" s="1">
        <f t="shared" si="1"/>
        <v>42548</v>
      </c>
      <c r="N47" s="4">
        <f t="shared" si="2"/>
        <v>35.893369326809513</v>
      </c>
      <c r="O47" s="1">
        <v>29</v>
      </c>
      <c r="P47" s="1">
        <f t="shared" si="3"/>
        <v>158708</v>
      </c>
      <c r="Q47" s="1">
        <v>118540</v>
      </c>
      <c r="R47" s="1">
        <v>-40168</v>
      </c>
      <c r="S47" s="1" t="s">
        <v>34</v>
      </c>
      <c r="T47" s="1" t="s">
        <v>32</v>
      </c>
    </row>
    <row r="48" spans="1:20" x14ac:dyDescent="0.3">
      <c r="A48" s="2">
        <v>44973</v>
      </c>
      <c r="B48" s="1" t="s">
        <v>42</v>
      </c>
      <c r="C48" s="1" t="s">
        <v>21</v>
      </c>
      <c r="D48" s="1">
        <v>2023</v>
      </c>
      <c r="E48" s="1" t="s">
        <v>38</v>
      </c>
      <c r="F48" s="1" t="s">
        <v>41</v>
      </c>
      <c r="G48" s="1" t="s">
        <v>29</v>
      </c>
      <c r="H48" s="1" t="s">
        <v>25</v>
      </c>
      <c r="I48" s="1">
        <v>83565</v>
      </c>
      <c r="J48" s="1">
        <v>36522</v>
      </c>
      <c r="K48" s="1">
        <v>27642</v>
      </c>
      <c r="L48" s="1">
        <f t="shared" si="0"/>
        <v>47043</v>
      </c>
      <c r="M48" s="1">
        <f t="shared" si="1"/>
        <v>19401</v>
      </c>
      <c r="N48" s="4">
        <f t="shared" si="2"/>
        <v>23.216657691617304</v>
      </c>
      <c r="O48" s="1">
        <v>81</v>
      </c>
      <c r="P48" s="1">
        <f t="shared" si="3"/>
        <v>63423</v>
      </c>
      <c r="Q48" s="1">
        <v>83565</v>
      </c>
      <c r="R48" s="1">
        <v>20142</v>
      </c>
      <c r="S48" s="1" t="s">
        <v>31</v>
      </c>
      <c r="T48" s="1" t="s">
        <v>32</v>
      </c>
    </row>
    <row r="49" spans="1:20" x14ac:dyDescent="0.3">
      <c r="A49" s="2">
        <v>44974</v>
      </c>
      <c r="B49" s="1" t="s">
        <v>42</v>
      </c>
      <c r="C49" s="1" t="s">
        <v>21</v>
      </c>
      <c r="D49" s="1">
        <v>2023</v>
      </c>
      <c r="E49" s="1" t="s">
        <v>38</v>
      </c>
      <c r="F49" s="1" t="s">
        <v>41</v>
      </c>
      <c r="G49" s="1" t="s">
        <v>29</v>
      </c>
      <c r="H49" s="1" t="s">
        <v>39</v>
      </c>
      <c r="I49" s="1">
        <v>115125</v>
      </c>
      <c r="J49" s="1">
        <v>52039</v>
      </c>
      <c r="K49" s="1">
        <v>23415</v>
      </c>
      <c r="L49" s="1">
        <f t="shared" si="0"/>
        <v>63086</v>
      </c>
      <c r="M49" s="1">
        <f t="shared" si="1"/>
        <v>39671</v>
      </c>
      <c r="N49" s="4">
        <f t="shared" si="2"/>
        <v>34.459066232356136</v>
      </c>
      <c r="O49" s="1">
        <v>86</v>
      </c>
      <c r="P49" s="1">
        <f t="shared" si="3"/>
        <v>167773</v>
      </c>
      <c r="Q49" s="1">
        <v>115125</v>
      </c>
      <c r="R49" s="1">
        <v>-52648</v>
      </c>
      <c r="S49" s="1" t="s">
        <v>26</v>
      </c>
      <c r="T49" s="1" t="s">
        <v>32</v>
      </c>
    </row>
    <row r="50" spans="1:20" x14ac:dyDescent="0.3">
      <c r="A50" s="2">
        <v>44975</v>
      </c>
      <c r="B50" s="1" t="s">
        <v>42</v>
      </c>
      <c r="C50" s="1" t="s">
        <v>21</v>
      </c>
      <c r="D50" s="1">
        <v>2023</v>
      </c>
      <c r="E50" s="1" t="s">
        <v>40</v>
      </c>
      <c r="F50" s="1" t="s">
        <v>35</v>
      </c>
      <c r="G50" s="1" t="s">
        <v>24</v>
      </c>
      <c r="H50" s="1" t="s">
        <v>30</v>
      </c>
      <c r="I50" s="1">
        <v>117531</v>
      </c>
      <c r="J50" s="1">
        <v>38387</v>
      </c>
      <c r="K50" s="1">
        <v>19980</v>
      </c>
      <c r="L50" s="1">
        <f t="shared" si="0"/>
        <v>79144</v>
      </c>
      <c r="M50" s="1">
        <f t="shared" si="1"/>
        <v>59164</v>
      </c>
      <c r="N50" s="4">
        <f t="shared" si="2"/>
        <v>50.339059482179174</v>
      </c>
      <c r="O50" s="1">
        <v>81</v>
      </c>
      <c r="P50" s="1">
        <f t="shared" si="3"/>
        <v>151978</v>
      </c>
      <c r="Q50" s="1">
        <v>117531</v>
      </c>
      <c r="R50" s="1">
        <v>-34447</v>
      </c>
      <c r="S50" s="1" t="s">
        <v>34</v>
      </c>
      <c r="T50" s="1" t="s">
        <v>32</v>
      </c>
    </row>
    <row r="51" spans="1:20" x14ac:dyDescent="0.3">
      <c r="A51" s="2">
        <v>44976</v>
      </c>
      <c r="B51" s="1" t="s">
        <v>42</v>
      </c>
      <c r="C51" s="1" t="s">
        <v>21</v>
      </c>
      <c r="D51" s="1">
        <v>2023</v>
      </c>
      <c r="E51" s="1" t="s">
        <v>38</v>
      </c>
      <c r="F51" s="1" t="s">
        <v>35</v>
      </c>
      <c r="G51" s="1" t="s">
        <v>29</v>
      </c>
      <c r="H51" s="1" t="s">
        <v>30</v>
      </c>
      <c r="I51" s="1">
        <v>82178</v>
      </c>
      <c r="J51" s="1">
        <v>94045</v>
      </c>
      <c r="K51" s="1">
        <v>35506</v>
      </c>
      <c r="L51" s="1">
        <f t="shared" si="0"/>
        <v>-11867</v>
      </c>
      <c r="M51" s="1">
        <f t="shared" si="1"/>
        <v>-47373</v>
      </c>
      <c r="N51" s="4">
        <f t="shared" si="2"/>
        <v>-57.646815449390346</v>
      </c>
      <c r="O51" s="1">
        <v>23</v>
      </c>
      <c r="P51" s="1">
        <f t="shared" si="3"/>
        <v>85572</v>
      </c>
      <c r="Q51" s="1">
        <v>82178</v>
      </c>
      <c r="R51" s="1">
        <v>-3394</v>
      </c>
      <c r="S51" s="1" t="s">
        <v>26</v>
      </c>
      <c r="T51" s="1" t="s">
        <v>32</v>
      </c>
    </row>
    <row r="52" spans="1:20" x14ac:dyDescent="0.3">
      <c r="A52" s="2">
        <v>44977</v>
      </c>
      <c r="B52" s="1" t="s">
        <v>42</v>
      </c>
      <c r="C52" s="1" t="s">
        <v>21</v>
      </c>
      <c r="D52" s="1">
        <v>2023</v>
      </c>
      <c r="E52" s="1" t="s">
        <v>40</v>
      </c>
      <c r="F52" s="1" t="s">
        <v>41</v>
      </c>
      <c r="G52" s="1" t="s">
        <v>36</v>
      </c>
      <c r="H52" s="1" t="s">
        <v>37</v>
      </c>
      <c r="I52" s="1">
        <v>58968</v>
      </c>
      <c r="J52" s="1">
        <v>54663</v>
      </c>
      <c r="K52" s="1">
        <v>46470</v>
      </c>
      <c r="L52" s="1">
        <f t="shared" si="0"/>
        <v>4305</v>
      </c>
      <c r="M52" s="1">
        <f t="shared" si="1"/>
        <v>-42165</v>
      </c>
      <c r="N52" s="4">
        <f t="shared" si="2"/>
        <v>-71.504884004884005</v>
      </c>
      <c r="O52" s="1">
        <v>63</v>
      </c>
      <c r="P52" s="1">
        <f t="shared" si="3"/>
        <v>68635</v>
      </c>
      <c r="Q52" s="1">
        <v>58968</v>
      </c>
      <c r="R52" s="1">
        <v>-9667</v>
      </c>
      <c r="S52" s="1" t="s">
        <v>34</v>
      </c>
      <c r="T52" s="1" t="s">
        <v>27</v>
      </c>
    </row>
    <row r="53" spans="1:20" x14ac:dyDescent="0.3">
      <c r="A53" s="2">
        <v>44978</v>
      </c>
      <c r="B53" s="1" t="s">
        <v>42</v>
      </c>
      <c r="C53" s="1" t="s">
        <v>21</v>
      </c>
      <c r="D53" s="1">
        <v>2023</v>
      </c>
      <c r="E53" s="1" t="s">
        <v>40</v>
      </c>
      <c r="F53" s="1" t="s">
        <v>41</v>
      </c>
      <c r="G53" s="1" t="s">
        <v>29</v>
      </c>
      <c r="H53" s="1" t="s">
        <v>25</v>
      </c>
      <c r="I53" s="1">
        <v>104038</v>
      </c>
      <c r="J53" s="1">
        <v>72001</v>
      </c>
      <c r="K53" s="1">
        <v>33724</v>
      </c>
      <c r="L53" s="1">
        <f t="shared" si="0"/>
        <v>32037</v>
      </c>
      <c r="M53" s="1">
        <f t="shared" si="1"/>
        <v>-1687</v>
      </c>
      <c r="N53" s="4">
        <f t="shared" si="2"/>
        <v>-1.6215229050923701</v>
      </c>
      <c r="O53" s="1">
        <v>20</v>
      </c>
      <c r="P53" s="1">
        <f t="shared" si="3"/>
        <v>143422</v>
      </c>
      <c r="Q53" s="1">
        <v>104038</v>
      </c>
      <c r="R53" s="1">
        <v>-39384</v>
      </c>
      <c r="S53" s="1" t="s">
        <v>26</v>
      </c>
      <c r="T53" s="1" t="s">
        <v>27</v>
      </c>
    </row>
    <row r="54" spans="1:20" x14ac:dyDescent="0.3">
      <c r="A54" s="2">
        <v>44979</v>
      </c>
      <c r="B54" s="1" t="s">
        <v>42</v>
      </c>
      <c r="C54" s="1" t="s">
        <v>21</v>
      </c>
      <c r="D54" s="1">
        <v>2023</v>
      </c>
      <c r="E54" s="1" t="s">
        <v>22</v>
      </c>
      <c r="F54" s="1" t="s">
        <v>28</v>
      </c>
      <c r="G54" s="1" t="s">
        <v>36</v>
      </c>
      <c r="H54" s="1" t="s">
        <v>30</v>
      </c>
      <c r="I54" s="1">
        <v>88964</v>
      </c>
      <c r="J54" s="1">
        <v>71459</v>
      </c>
      <c r="K54" s="1">
        <v>28456</v>
      </c>
      <c r="L54" s="1">
        <f t="shared" si="0"/>
        <v>17505</v>
      </c>
      <c r="M54" s="1">
        <f t="shared" si="1"/>
        <v>-10951</v>
      </c>
      <c r="N54" s="4">
        <f t="shared" si="2"/>
        <v>-12.309473494896812</v>
      </c>
      <c r="O54" s="1">
        <v>95</v>
      </c>
      <c r="P54" s="1">
        <f t="shared" si="3"/>
        <v>64885</v>
      </c>
      <c r="Q54" s="1">
        <v>88964</v>
      </c>
      <c r="R54" s="1">
        <v>24079</v>
      </c>
      <c r="S54" s="1" t="s">
        <v>26</v>
      </c>
      <c r="T54" s="1" t="s">
        <v>27</v>
      </c>
    </row>
    <row r="55" spans="1:20" x14ac:dyDescent="0.3">
      <c r="A55" s="2">
        <v>44980</v>
      </c>
      <c r="B55" s="1" t="s">
        <v>42</v>
      </c>
      <c r="C55" s="1" t="s">
        <v>21</v>
      </c>
      <c r="D55" s="1">
        <v>2023</v>
      </c>
      <c r="E55" s="1" t="s">
        <v>40</v>
      </c>
      <c r="F55" s="1" t="s">
        <v>23</v>
      </c>
      <c r="G55" s="1" t="s">
        <v>29</v>
      </c>
      <c r="H55" s="1" t="s">
        <v>39</v>
      </c>
      <c r="I55" s="1">
        <v>99948</v>
      </c>
      <c r="J55" s="1">
        <v>74879</v>
      </c>
      <c r="K55" s="1">
        <v>47817</v>
      </c>
      <c r="L55" s="1">
        <f t="shared" si="0"/>
        <v>25069</v>
      </c>
      <c r="M55" s="1">
        <f t="shared" si="1"/>
        <v>-22748</v>
      </c>
      <c r="N55" s="4">
        <f t="shared" si="2"/>
        <v>-22.759835114259413</v>
      </c>
      <c r="O55" s="1">
        <v>16</v>
      </c>
      <c r="P55" s="1">
        <f t="shared" si="3"/>
        <v>138310</v>
      </c>
      <c r="Q55" s="1">
        <v>99948</v>
      </c>
      <c r="R55" s="1">
        <v>-38362</v>
      </c>
      <c r="S55" s="1" t="s">
        <v>31</v>
      </c>
      <c r="T55" s="1" t="s">
        <v>32</v>
      </c>
    </row>
    <row r="56" spans="1:20" x14ac:dyDescent="0.3">
      <c r="A56" s="2">
        <v>44981</v>
      </c>
      <c r="B56" s="1" t="s">
        <v>42</v>
      </c>
      <c r="C56" s="1" t="s">
        <v>21</v>
      </c>
      <c r="D56" s="1">
        <v>2023</v>
      </c>
      <c r="E56" s="1" t="s">
        <v>40</v>
      </c>
      <c r="F56" s="1" t="s">
        <v>28</v>
      </c>
      <c r="G56" s="1" t="s">
        <v>29</v>
      </c>
      <c r="H56" s="1" t="s">
        <v>39</v>
      </c>
      <c r="I56" s="1">
        <v>59192</v>
      </c>
      <c r="J56" s="1">
        <v>94878</v>
      </c>
      <c r="K56" s="1">
        <v>21797</v>
      </c>
      <c r="L56" s="1">
        <f t="shared" si="0"/>
        <v>-35686</v>
      </c>
      <c r="M56" s="1">
        <f t="shared" si="1"/>
        <v>-57483</v>
      </c>
      <c r="N56" s="4">
        <f t="shared" si="2"/>
        <v>-97.112785511555614</v>
      </c>
      <c r="O56" s="1">
        <v>75</v>
      </c>
      <c r="P56" s="1">
        <f t="shared" si="3"/>
        <v>96425</v>
      </c>
      <c r="Q56" s="1">
        <v>59192</v>
      </c>
      <c r="R56" s="1">
        <v>-37233</v>
      </c>
      <c r="S56" s="1" t="s">
        <v>34</v>
      </c>
      <c r="T56" s="1" t="s">
        <v>32</v>
      </c>
    </row>
    <row r="57" spans="1:20" x14ac:dyDescent="0.3">
      <c r="A57" s="2">
        <v>44982</v>
      </c>
      <c r="B57" s="1" t="s">
        <v>42</v>
      </c>
      <c r="C57" s="1" t="s">
        <v>21</v>
      </c>
      <c r="D57" s="1">
        <v>2023</v>
      </c>
      <c r="E57" s="1" t="s">
        <v>22</v>
      </c>
      <c r="F57" s="1" t="s">
        <v>35</v>
      </c>
      <c r="G57" s="1" t="s">
        <v>24</v>
      </c>
      <c r="H57" s="1" t="s">
        <v>39</v>
      </c>
      <c r="I57" s="1">
        <v>68712</v>
      </c>
      <c r="J57" s="1">
        <v>26358</v>
      </c>
      <c r="K57" s="1">
        <v>11079</v>
      </c>
      <c r="L57" s="1">
        <f t="shared" si="0"/>
        <v>42354</v>
      </c>
      <c r="M57" s="1">
        <f t="shared" si="1"/>
        <v>31275</v>
      </c>
      <c r="N57" s="4">
        <f t="shared" si="2"/>
        <v>45.516067062521834</v>
      </c>
      <c r="O57" s="1">
        <v>33</v>
      </c>
      <c r="P57" s="1">
        <f t="shared" si="3"/>
        <v>178675</v>
      </c>
      <c r="Q57" s="1">
        <v>68712</v>
      </c>
      <c r="R57" s="1">
        <v>-109963</v>
      </c>
      <c r="S57" s="1" t="s">
        <v>34</v>
      </c>
      <c r="T57" s="1" t="s">
        <v>27</v>
      </c>
    </row>
    <row r="58" spans="1:20" x14ac:dyDescent="0.3">
      <c r="A58" s="2">
        <v>44983</v>
      </c>
      <c r="B58" s="1" t="s">
        <v>42</v>
      </c>
      <c r="C58" s="1" t="s">
        <v>21</v>
      </c>
      <c r="D58" s="1">
        <v>2023</v>
      </c>
      <c r="E58" s="1" t="s">
        <v>38</v>
      </c>
      <c r="F58" s="1" t="s">
        <v>28</v>
      </c>
      <c r="G58" s="1" t="s">
        <v>36</v>
      </c>
      <c r="H58" s="1" t="s">
        <v>37</v>
      </c>
      <c r="I58" s="1">
        <v>194701</v>
      </c>
      <c r="J58" s="1">
        <v>34370</v>
      </c>
      <c r="K58" s="1">
        <v>30057</v>
      </c>
      <c r="L58" s="1">
        <f t="shared" si="0"/>
        <v>160331</v>
      </c>
      <c r="M58" s="1">
        <f t="shared" si="1"/>
        <v>130274</v>
      </c>
      <c r="N58" s="4">
        <f t="shared" si="2"/>
        <v>66.909774474707376</v>
      </c>
      <c r="O58" s="1">
        <v>69</v>
      </c>
      <c r="P58" s="1">
        <f t="shared" si="3"/>
        <v>164452</v>
      </c>
      <c r="Q58" s="1">
        <v>194701</v>
      </c>
      <c r="R58" s="1">
        <v>30249</v>
      </c>
      <c r="S58" s="1" t="s">
        <v>31</v>
      </c>
      <c r="T58" s="1" t="s">
        <v>32</v>
      </c>
    </row>
    <row r="59" spans="1:20" x14ac:dyDescent="0.3">
      <c r="A59" s="2">
        <v>44984</v>
      </c>
      <c r="B59" s="1" t="s">
        <v>42</v>
      </c>
      <c r="C59" s="1" t="s">
        <v>21</v>
      </c>
      <c r="D59" s="1">
        <v>2023</v>
      </c>
      <c r="E59" s="1" t="s">
        <v>38</v>
      </c>
      <c r="F59" s="1" t="s">
        <v>35</v>
      </c>
      <c r="G59" s="1" t="s">
        <v>36</v>
      </c>
      <c r="H59" s="1" t="s">
        <v>30</v>
      </c>
      <c r="I59" s="1">
        <v>144630</v>
      </c>
      <c r="J59" s="1">
        <v>80341</v>
      </c>
      <c r="K59" s="1">
        <v>10024</v>
      </c>
      <c r="L59" s="1">
        <f t="shared" si="0"/>
        <v>64289</v>
      </c>
      <c r="M59" s="1">
        <f t="shared" si="1"/>
        <v>54265</v>
      </c>
      <c r="N59" s="4">
        <f t="shared" si="2"/>
        <v>37.519878310170782</v>
      </c>
      <c r="O59" s="1">
        <v>92</v>
      </c>
      <c r="P59" s="1">
        <f t="shared" si="3"/>
        <v>116800</v>
      </c>
      <c r="Q59" s="1">
        <v>144630</v>
      </c>
      <c r="R59" s="1">
        <v>27830</v>
      </c>
      <c r="S59" s="1" t="s">
        <v>34</v>
      </c>
      <c r="T59" s="1" t="s">
        <v>32</v>
      </c>
    </row>
    <row r="60" spans="1:20" x14ac:dyDescent="0.3">
      <c r="A60" s="2">
        <v>44985</v>
      </c>
      <c r="B60" s="1" t="s">
        <v>42</v>
      </c>
      <c r="C60" s="1" t="s">
        <v>21</v>
      </c>
      <c r="D60" s="1">
        <v>2023</v>
      </c>
      <c r="E60" s="1" t="s">
        <v>38</v>
      </c>
      <c r="F60" s="1" t="s">
        <v>35</v>
      </c>
      <c r="G60" s="1" t="s">
        <v>29</v>
      </c>
      <c r="H60" s="1" t="s">
        <v>30</v>
      </c>
      <c r="I60" s="1">
        <v>106161</v>
      </c>
      <c r="J60" s="1">
        <v>87811</v>
      </c>
      <c r="K60" s="1">
        <v>48973</v>
      </c>
      <c r="L60" s="1">
        <f t="shared" si="0"/>
        <v>18350</v>
      </c>
      <c r="M60" s="1">
        <f t="shared" si="1"/>
        <v>-30623</v>
      </c>
      <c r="N60" s="4">
        <f t="shared" si="2"/>
        <v>-28.845809666450013</v>
      </c>
      <c r="O60" s="1">
        <v>19</v>
      </c>
      <c r="P60" s="1">
        <f t="shared" si="3"/>
        <v>106796</v>
      </c>
      <c r="Q60" s="1">
        <v>106161</v>
      </c>
      <c r="R60" s="1">
        <v>-635</v>
      </c>
      <c r="S60" s="1" t="s">
        <v>34</v>
      </c>
      <c r="T60" s="1" t="s">
        <v>27</v>
      </c>
    </row>
    <row r="61" spans="1:20" x14ac:dyDescent="0.3">
      <c r="A61" s="2">
        <v>44986</v>
      </c>
      <c r="B61" s="1" t="s">
        <v>43</v>
      </c>
      <c r="C61" s="1" t="s">
        <v>21</v>
      </c>
      <c r="D61" s="1">
        <v>2023</v>
      </c>
      <c r="E61" s="1" t="s">
        <v>22</v>
      </c>
      <c r="F61" s="1" t="s">
        <v>28</v>
      </c>
      <c r="G61" s="1" t="s">
        <v>24</v>
      </c>
      <c r="H61" s="1" t="s">
        <v>25</v>
      </c>
      <c r="I61" s="1">
        <v>65442</v>
      </c>
      <c r="J61" s="1">
        <v>20314</v>
      </c>
      <c r="K61" s="1">
        <v>40253</v>
      </c>
      <c r="L61" s="1">
        <f t="shared" si="0"/>
        <v>45128</v>
      </c>
      <c r="M61" s="1">
        <f t="shared" si="1"/>
        <v>4875</v>
      </c>
      <c r="N61" s="4">
        <f t="shared" si="2"/>
        <v>7.4493444576877232</v>
      </c>
      <c r="O61" s="1">
        <v>80</v>
      </c>
      <c r="P61" s="1">
        <f t="shared" si="3"/>
        <v>103907</v>
      </c>
      <c r="Q61" s="1">
        <v>65442</v>
      </c>
      <c r="R61" s="1">
        <v>-38465</v>
      </c>
      <c r="S61" s="1" t="s">
        <v>34</v>
      </c>
      <c r="T61" s="1" t="s">
        <v>27</v>
      </c>
    </row>
    <row r="62" spans="1:20" x14ac:dyDescent="0.3">
      <c r="A62" s="2">
        <v>44987</v>
      </c>
      <c r="B62" s="1" t="s">
        <v>43</v>
      </c>
      <c r="C62" s="1" t="s">
        <v>21</v>
      </c>
      <c r="D62" s="1">
        <v>2023</v>
      </c>
      <c r="E62" s="1" t="s">
        <v>40</v>
      </c>
      <c r="F62" s="1" t="s">
        <v>28</v>
      </c>
      <c r="G62" s="1" t="s">
        <v>24</v>
      </c>
      <c r="H62" s="1" t="s">
        <v>30</v>
      </c>
      <c r="I62" s="1">
        <v>151171</v>
      </c>
      <c r="J62" s="1">
        <v>32881</v>
      </c>
      <c r="K62" s="1">
        <v>17841</v>
      </c>
      <c r="L62" s="1">
        <f t="shared" si="0"/>
        <v>118290</v>
      </c>
      <c r="M62" s="1">
        <f t="shared" si="1"/>
        <v>100449</v>
      </c>
      <c r="N62" s="4">
        <f t="shared" si="2"/>
        <v>66.447268325274024</v>
      </c>
      <c r="O62" s="1">
        <v>67</v>
      </c>
      <c r="P62" s="1">
        <f t="shared" si="3"/>
        <v>157083</v>
      </c>
      <c r="Q62" s="1">
        <v>151171</v>
      </c>
      <c r="R62" s="1">
        <v>-5912</v>
      </c>
      <c r="S62" s="1" t="s">
        <v>26</v>
      </c>
      <c r="T62" s="1" t="s">
        <v>27</v>
      </c>
    </row>
    <row r="63" spans="1:20" x14ac:dyDescent="0.3">
      <c r="A63" s="2">
        <v>44988</v>
      </c>
      <c r="B63" s="1" t="s">
        <v>43</v>
      </c>
      <c r="C63" s="1" t="s">
        <v>21</v>
      </c>
      <c r="D63" s="1">
        <v>2023</v>
      </c>
      <c r="E63" s="1" t="s">
        <v>33</v>
      </c>
      <c r="F63" s="1" t="s">
        <v>23</v>
      </c>
      <c r="G63" s="1" t="s">
        <v>29</v>
      </c>
      <c r="H63" s="1" t="s">
        <v>30</v>
      </c>
      <c r="I63" s="1">
        <v>159638</v>
      </c>
      <c r="J63" s="1">
        <v>71499</v>
      </c>
      <c r="K63" s="1">
        <v>18038</v>
      </c>
      <c r="L63" s="1">
        <f t="shared" si="0"/>
        <v>88139</v>
      </c>
      <c r="M63" s="1">
        <f t="shared" si="1"/>
        <v>70101</v>
      </c>
      <c r="N63" s="4">
        <f t="shared" si="2"/>
        <v>43.912476979165362</v>
      </c>
      <c r="O63" s="1">
        <v>63</v>
      </c>
      <c r="P63" s="1">
        <f t="shared" si="3"/>
        <v>113825</v>
      </c>
      <c r="Q63" s="1">
        <v>159638</v>
      </c>
      <c r="R63" s="1">
        <v>45813</v>
      </c>
      <c r="S63" s="1" t="s">
        <v>26</v>
      </c>
      <c r="T63" s="1" t="s">
        <v>32</v>
      </c>
    </row>
    <row r="64" spans="1:20" x14ac:dyDescent="0.3">
      <c r="A64" s="2">
        <v>44989</v>
      </c>
      <c r="B64" s="1" t="s">
        <v>43</v>
      </c>
      <c r="C64" s="1" t="s">
        <v>21</v>
      </c>
      <c r="D64" s="1">
        <v>2023</v>
      </c>
      <c r="E64" s="1" t="s">
        <v>33</v>
      </c>
      <c r="F64" s="1" t="s">
        <v>28</v>
      </c>
      <c r="G64" s="1" t="s">
        <v>29</v>
      </c>
      <c r="H64" s="1" t="s">
        <v>25</v>
      </c>
      <c r="I64" s="1">
        <v>125827</v>
      </c>
      <c r="J64" s="1">
        <v>37669</v>
      </c>
      <c r="K64" s="1">
        <v>19582</v>
      </c>
      <c r="L64" s="1">
        <f t="shared" si="0"/>
        <v>88158</v>
      </c>
      <c r="M64" s="1">
        <f t="shared" si="1"/>
        <v>68576</v>
      </c>
      <c r="N64" s="4">
        <f t="shared" si="2"/>
        <v>54.500226501466301</v>
      </c>
      <c r="O64" s="1">
        <v>22</v>
      </c>
      <c r="P64" s="1">
        <f t="shared" si="3"/>
        <v>124680</v>
      </c>
      <c r="Q64" s="1">
        <v>125827</v>
      </c>
      <c r="R64" s="1">
        <v>1147</v>
      </c>
      <c r="S64" s="1" t="s">
        <v>31</v>
      </c>
      <c r="T64" s="1" t="s">
        <v>27</v>
      </c>
    </row>
    <row r="65" spans="1:20" x14ac:dyDescent="0.3">
      <c r="A65" s="2">
        <v>44990</v>
      </c>
      <c r="B65" s="1" t="s">
        <v>43</v>
      </c>
      <c r="C65" s="1" t="s">
        <v>21</v>
      </c>
      <c r="D65" s="1">
        <v>2023</v>
      </c>
      <c r="E65" s="1" t="s">
        <v>40</v>
      </c>
      <c r="F65" s="1" t="s">
        <v>28</v>
      </c>
      <c r="G65" s="1" t="s">
        <v>29</v>
      </c>
      <c r="H65" s="1" t="s">
        <v>30</v>
      </c>
      <c r="I65" s="1">
        <v>91587</v>
      </c>
      <c r="J65" s="1">
        <v>71695</v>
      </c>
      <c r="K65" s="1">
        <v>40397</v>
      </c>
      <c r="L65" s="1">
        <f t="shared" si="0"/>
        <v>19892</v>
      </c>
      <c r="M65" s="1">
        <f t="shared" si="1"/>
        <v>-20505</v>
      </c>
      <c r="N65" s="4">
        <f t="shared" si="2"/>
        <v>-22.388548593140946</v>
      </c>
      <c r="O65" s="1">
        <v>17</v>
      </c>
      <c r="P65" s="1">
        <f t="shared" si="3"/>
        <v>88058</v>
      </c>
      <c r="Q65" s="1">
        <v>91587</v>
      </c>
      <c r="R65" s="1">
        <v>3529</v>
      </c>
      <c r="S65" s="1" t="s">
        <v>26</v>
      </c>
      <c r="T65" s="1" t="s">
        <v>27</v>
      </c>
    </row>
    <row r="66" spans="1:20" x14ac:dyDescent="0.3">
      <c r="A66" s="2">
        <v>44991</v>
      </c>
      <c r="B66" s="1" t="s">
        <v>43</v>
      </c>
      <c r="C66" s="1" t="s">
        <v>21</v>
      </c>
      <c r="D66" s="1">
        <v>2023</v>
      </c>
      <c r="E66" s="1" t="s">
        <v>33</v>
      </c>
      <c r="F66" s="1" t="s">
        <v>28</v>
      </c>
      <c r="G66" s="1" t="s">
        <v>36</v>
      </c>
      <c r="H66" s="1" t="s">
        <v>39</v>
      </c>
      <c r="I66" s="1">
        <v>144599</v>
      </c>
      <c r="J66" s="1">
        <v>20016</v>
      </c>
      <c r="K66" s="1">
        <v>15591</v>
      </c>
      <c r="L66" s="1">
        <f t="shared" si="0"/>
        <v>124583</v>
      </c>
      <c r="M66" s="1">
        <f t="shared" si="1"/>
        <v>108992</v>
      </c>
      <c r="N66" s="4">
        <f t="shared" si="2"/>
        <v>75.375348377236364</v>
      </c>
      <c r="O66" s="1">
        <v>43</v>
      </c>
      <c r="P66" s="1">
        <f t="shared" si="3"/>
        <v>111029</v>
      </c>
      <c r="Q66" s="1">
        <v>144599</v>
      </c>
      <c r="R66" s="1">
        <v>33570</v>
      </c>
      <c r="S66" s="1" t="s">
        <v>26</v>
      </c>
      <c r="T66" s="1" t="s">
        <v>27</v>
      </c>
    </row>
    <row r="67" spans="1:20" x14ac:dyDescent="0.3">
      <c r="A67" s="2">
        <v>44992</v>
      </c>
      <c r="B67" s="1" t="s">
        <v>43</v>
      </c>
      <c r="C67" s="1" t="s">
        <v>21</v>
      </c>
      <c r="D67" s="1">
        <v>2023</v>
      </c>
      <c r="E67" s="1" t="s">
        <v>38</v>
      </c>
      <c r="F67" s="1" t="s">
        <v>41</v>
      </c>
      <c r="G67" s="1" t="s">
        <v>29</v>
      </c>
      <c r="H67" s="1" t="s">
        <v>37</v>
      </c>
      <c r="I67" s="1">
        <v>85534</v>
      </c>
      <c r="J67" s="1">
        <v>71341</v>
      </c>
      <c r="K67" s="1">
        <v>49527</v>
      </c>
      <c r="L67" s="1">
        <f t="shared" ref="L67:L121" si="4">I67-J67</f>
        <v>14193</v>
      </c>
      <c r="M67" s="1">
        <f t="shared" ref="M67:M121" si="5">L67-K67</f>
        <v>-35334</v>
      </c>
      <c r="N67" s="4">
        <f t="shared" ref="N67:N121" si="6">M67/I67*100</f>
        <v>-41.309888465405571</v>
      </c>
      <c r="O67" s="1">
        <v>20</v>
      </c>
      <c r="P67" s="1">
        <f t="shared" ref="P67:P121" si="7">Q67-R67</f>
        <v>152802</v>
      </c>
      <c r="Q67" s="1">
        <v>85534</v>
      </c>
      <c r="R67" s="1">
        <v>-67268</v>
      </c>
      <c r="S67" s="1" t="s">
        <v>34</v>
      </c>
      <c r="T67" s="1" t="s">
        <v>32</v>
      </c>
    </row>
    <row r="68" spans="1:20" x14ac:dyDescent="0.3">
      <c r="A68" s="2">
        <v>44993</v>
      </c>
      <c r="B68" s="1" t="s">
        <v>43</v>
      </c>
      <c r="C68" s="1" t="s">
        <v>21</v>
      </c>
      <c r="D68" s="1">
        <v>2023</v>
      </c>
      <c r="E68" s="1" t="s">
        <v>33</v>
      </c>
      <c r="F68" s="1" t="s">
        <v>41</v>
      </c>
      <c r="G68" s="1" t="s">
        <v>29</v>
      </c>
      <c r="H68" s="1" t="s">
        <v>37</v>
      </c>
      <c r="I68" s="1">
        <v>152752</v>
      </c>
      <c r="J68" s="1">
        <v>89727</v>
      </c>
      <c r="K68" s="1">
        <v>45455</v>
      </c>
      <c r="L68" s="1">
        <f t="shared" si="4"/>
        <v>63025</v>
      </c>
      <c r="M68" s="1">
        <f t="shared" si="5"/>
        <v>17570</v>
      </c>
      <c r="N68" s="4">
        <f t="shared" si="6"/>
        <v>11.50230438881324</v>
      </c>
      <c r="O68" s="1">
        <v>82</v>
      </c>
      <c r="P68" s="1">
        <f t="shared" si="7"/>
        <v>93859</v>
      </c>
      <c r="Q68" s="1">
        <v>152752</v>
      </c>
      <c r="R68" s="1">
        <v>58893</v>
      </c>
      <c r="S68" s="1" t="s">
        <v>34</v>
      </c>
      <c r="T68" s="1" t="s">
        <v>27</v>
      </c>
    </row>
    <row r="69" spans="1:20" x14ac:dyDescent="0.3">
      <c r="A69" s="2">
        <v>44994</v>
      </c>
      <c r="B69" s="1" t="s">
        <v>43</v>
      </c>
      <c r="C69" s="1" t="s">
        <v>21</v>
      </c>
      <c r="D69" s="1">
        <v>2023</v>
      </c>
      <c r="E69" s="1" t="s">
        <v>22</v>
      </c>
      <c r="F69" s="1" t="s">
        <v>23</v>
      </c>
      <c r="G69" s="1" t="s">
        <v>24</v>
      </c>
      <c r="H69" s="1" t="s">
        <v>25</v>
      </c>
      <c r="I69" s="1">
        <v>174184</v>
      </c>
      <c r="J69" s="1">
        <v>58680</v>
      </c>
      <c r="K69" s="1">
        <v>19808</v>
      </c>
      <c r="L69" s="1">
        <f t="shared" si="4"/>
        <v>115504</v>
      </c>
      <c r="M69" s="1">
        <f t="shared" si="5"/>
        <v>95696</v>
      </c>
      <c r="N69" s="4">
        <f t="shared" si="6"/>
        <v>54.939604096817163</v>
      </c>
      <c r="O69" s="1">
        <v>97</v>
      </c>
      <c r="P69" s="1">
        <f t="shared" si="7"/>
        <v>71237</v>
      </c>
      <c r="Q69" s="1">
        <v>174184</v>
      </c>
      <c r="R69" s="1">
        <v>102947</v>
      </c>
      <c r="S69" s="1" t="s">
        <v>26</v>
      </c>
      <c r="T69" s="1" t="s">
        <v>27</v>
      </c>
    </row>
    <row r="70" spans="1:20" x14ac:dyDescent="0.3">
      <c r="A70" s="2">
        <v>44995</v>
      </c>
      <c r="B70" s="1" t="s">
        <v>43</v>
      </c>
      <c r="C70" s="1" t="s">
        <v>21</v>
      </c>
      <c r="D70" s="1">
        <v>2023</v>
      </c>
      <c r="E70" s="1" t="s">
        <v>40</v>
      </c>
      <c r="F70" s="1" t="s">
        <v>41</v>
      </c>
      <c r="G70" s="1" t="s">
        <v>24</v>
      </c>
      <c r="H70" s="1" t="s">
        <v>30</v>
      </c>
      <c r="I70" s="1">
        <v>112488</v>
      </c>
      <c r="J70" s="1">
        <v>67196</v>
      </c>
      <c r="K70" s="1">
        <v>29325</v>
      </c>
      <c r="L70" s="1">
        <f t="shared" si="4"/>
        <v>45292</v>
      </c>
      <c r="M70" s="1">
        <f t="shared" si="5"/>
        <v>15967</v>
      </c>
      <c r="N70" s="4">
        <f t="shared" si="6"/>
        <v>14.1944029585378</v>
      </c>
      <c r="O70" s="1">
        <v>35</v>
      </c>
      <c r="P70" s="1">
        <f t="shared" si="7"/>
        <v>152575</v>
      </c>
      <c r="Q70" s="1">
        <v>112488</v>
      </c>
      <c r="R70" s="1">
        <v>-40087</v>
      </c>
      <c r="S70" s="1" t="s">
        <v>26</v>
      </c>
      <c r="T70" s="1" t="s">
        <v>32</v>
      </c>
    </row>
    <row r="71" spans="1:20" x14ac:dyDescent="0.3">
      <c r="A71" s="2">
        <v>44996</v>
      </c>
      <c r="B71" s="1" t="s">
        <v>43</v>
      </c>
      <c r="C71" s="1" t="s">
        <v>21</v>
      </c>
      <c r="D71" s="1">
        <v>2023</v>
      </c>
      <c r="E71" s="1" t="s">
        <v>38</v>
      </c>
      <c r="F71" s="1" t="s">
        <v>23</v>
      </c>
      <c r="G71" s="1" t="s">
        <v>29</v>
      </c>
      <c r="H71" s="1" t="s">
        <v>25</v>
      </c>
      <c r="I71" s="1">
        <v>194785</v>
      </c>
      <c r="J71" s="1">
        <v>71753</v>
      </c>
      <c r="K71" s="1">
        <v>38841</v>
      </c>
      <c r="L71" s="1">
        <f t="shared" si="4"/>
        <v>123032</v>
      </c>
      <c r="M71" s="1">
        <f t="shared" si="5"/>
        <v>84191</v>
      </c>
      <c r="N71" s="4">
        <f t="shared" si="6"/>
        <v>43.222527402007344</v>
      </c>
      <c r="O71" s="1">
        <v>66</v>
      </c>
      <c r="P71" s="1">
        <f t="shared" si="7"/>
        <v>177880</v>
      </c>
      <c r="Q71" s="1">
        <v>194785</v>
      </c>
      <c r="R71" s="1">
        <v>16905</v>
      </c>
      <c r="S71" s="1" t="s">
        <v>31</v>
      </c>
      <c r="T71" s="1" t="s">
        <v>32</v>
      </c>
    </row>
    <row r="72" spans="1:20" x14ac:dyDescent="0.3">
      <c r="A72" s="2">
        <v>44997</v>
      </c>
      <c r="B72" s="1" t="s">
        <v>43</v>
      </c>
      <c r="C72" s="1" t="s">
        <v>21</v>
      </c>
      <c r="D72" s="1">
        <v>2023</v>
      </c>
      <c r="E72" s="1" t="s">
        <v>22</v>
      </c>
      <c r="F72" s="1" t="s">
        <v>35</v>
      </c>
      <c r="G72" s="1" t="s">
        <v>29</v>
      </c>
      <c r="H72" s="1" t="s">
        <v>37</v>
      </c>
      <c r="I72" s="1">
        <v>171497</v>
      </c>
      <c r="J72" s="1">
        <v>91974</v>
      </c>
      <c r="K72" s="1">
        <v>16319</v>
      </c>
      <c r="L72" s="1">
        <f t="shared" si="4"/>
        <v>79523</v>
      </c>
      <c r="M72" s="1">
        <f t="shared" si="5"/>
        <v>63204</v>
      </c>
      <c r="N72" s="4">
        <f t="shared" si="6"/>
        <v>36.854288996308973</v>
      </c>
      <c r="O72" s="1">
        <v>26</v>
      </c>
      <c r="P72" s="1">
        <f t="shared" si="7"/>
        <v>144416</v>
      </c>
      <c r="Q72" s="1">
        <v>171497</v>
      </c>
      <c r="R72" s="1">
        <v>27081</v>
      </c>
      <c r="S72" s="1" t="s">
        <v>34</v>
      </c>
      <c r="T72" s="1" t="s">
        <v>27</v>
      </c>
    </row>
    <row r="73" spans="1:20" x14ac:dyDescent="0.3">
      <c r="A73" s="2">
        <v>44998</v>
      </c>
      <c r="B73" s="1" t="s">
        <v>43</v>
      </c>
      <c r="C73" s="1" t="s">
        <v>21</v>
      </c>
      <c r="D73" s="1">
        <v>2023</v>
      </c>
      <c r="E73" s="1" t="s">
        <v>22</v>
      </c>
      <c r="F73" s="1" t="s">
        <v>23</v>
      </c>
      <c r="G73" s="1" t="s">
        <v>24</v>
      </c>
      <c r="H73" s="1" t="s">
        <v>37</v>
      </c>
      <c r="I73" s="1">
        <v>90877</v>
      </c>
      <c r="J73" s="1">
        <v>97052</v>
      </c>
      <c r="K73" s="1">
        <v>11519</v>
      </c>
      <c r="L73" s="1">
        <f t="shared" si="4"/>
        <v>-6175</v>
      </c>
      <c r="M73" s="1">
        <f t="shared" si="5"/>
        <v>-17694</v>
      </c>
      <c r="N73" s="4">
        <f t="shared" si="6"/>
        <v>-19.470273006371251</v>
      </c>
      <c r="O73" s="1">
        <v>50</v>
      </c>
      <c r="P73" s="1">
        <f t="shared" si="7"/>
        <v>102764</v>
      </c>
      <c r="Q73" s="1">
        <v>90877</v>
      </c>
      <c r="R73" s="1">
        <v>-11887</v>
      </c>
      <c r="S73" s="1" t="s">
        <v>26</v>
      </c>
      <c r="T73" s="1" t="s">
        <v>32</v>
      </c>
    </row>
    <row r="74" spans="1:20" x14ac:dyDescent="0.3">
      <c r="A74" s="2">
        <v>44999</v>
      </c>
      <c r="B74" s="1" t="s">
        <v>43</v>
      </c>
      <c r="C74" s="1" t="s">
        <v>21</v>
      </c>
      <c r="D74" s="1">
        <v>2023</v>
      </c>
      <c r="E74" s="1" t="s">
        <v>22</v>
      </c>
      <c r="F74" s="1" t="s">
        <v>23</v>
      </c>
      <c r="G74" s="1" t="s">
        <v>36</v>
      </c>
      <c r="H74" s="1" t="s">
        <v>30</v>
      </c>
      <c r="I74" s="1">
        <v>198059</v>
      </c>
      <c r="J74" s="1">
        <v>55201</v>
      </c>
      <c r="K74" s="1">
        <v>40886</v>
      </c>
      <c r="L74" s="1">
        <f t="shared" si="4"/>
        <v>142858</v>
      </c>
      <c r="M74" s="1">
        <f t="shared" si="5"/>
        <v>101972</v>
      </c>
      <c r="N74" s="4">
        <f t="shared" si="6"/>
        <v>51.485668411937858</v>
      </c>
      <c r="O74" s="1">
        <v>31</v>
      </c>
      <c r="P74" s="1">
        <f t="shared" si="7"/>
        <v>179926</v>
      </c>
      <c r="Q74" s="1">
        <v>198059</v>
      </c>
      <c r="R74" s="1">
        <v>18133</v>
      </c>
      <c r="S74" s="1" t="s">
        <v>31</v>
      </c>
      <c r="T74" s="1" t="s">
        <v>27</v>
      </c>
    </row>
    <row r="75" spans="1:20" x14ac:dyDescent="0.3">
      <c r="A75" s="2">
        <v>45000</v>
      </c>
      <c r="B75" s="1" t="s">
        <v>43</v>
      </c>
      <c r="C75" s="1" t="s">
        <v>21</v>
      </c>
      <c r="D75" s="1">
        <v>2023</v>
      </c>
      <c r="E75" s="1" t="s">
        <v>38</v>
      </c>
      <c r="F75" s="1" t="s">
        <v>28</v>
      </c>
      <c r="G75" s="1" t="s">
        <v>29</v>
      </c>
      <c r="H75" s="1" t="s">
        <v>37</v>
      </c>
      <c r="I75" s="1">
        <v>155622</v>
      </c>
      <c r="J75" s="1">
        <v>54467</v>
      </c>
      <c r="K75" s="1">
        <v>14822</v>
      </c>
      <c r="L75" s="1">
        <f t="shared" si="4"/>
        <v>101155</v>
      </c>
      <c r="M75" s="1">
        <f t="shared" si="5"/>
        <v>86333</v>
      </c>
      <c r="N75" s="4">
        <f t="shared" si="6"/>
        <v>55.476089498914035</v>
      </c>
      <c r="O75" s="1">
        <v>60</v>
      </c>
      <c r="P75" s="1">
        <f t="shared" si="7"/>
        <v>154455</v>
      </c>
      <c r="Q75" s="1">
        <v>155622</v>
      </c>
      <c r="R75" s="1">
        <v>1167</v>
      </c>
      <c r="S75" s="1" t="s">
        <v>34</v>
      </c>
      <c r="T75" s="1" t="s">
        <v>32</v>
      </c>
    </row>
    <row r="76" spans="1:20" x14ac:dyDescent="0.3">
      <c r="A76" s="2">
        <v>45001</v>
      </c>
      <c r="B76" s="1" t="s">
        <v>43</v>
      </c>
      <c r="C76" s="1" t="s">
        <v>21</v>
      </c>
      <c r="D76" s="1">
        <v>2023</v>
      </c>
      <c r="E76" s="1" t="s">
        <v>22</v>
      </c>
      <c r="F76" s="1" t="s">
        <v>41</v>
      </c>
      <c r="G76" s="1" t="s">
        <v>24</v>
      </c>
      <c r="H76" s="1" t="s">
        <v>25</v>
      </c>
      <c r="I76" s="1">
        <v>172481</v>
      </c>
      <c r="J76" s="1">
        <v>51737</v>
      </c>
      <c r="K76" s="1">
        <v>23915</v>
      </c>
      <c r="L76" s="1">
        <f t="shared" si="4"/>
        <v>120744</v>
      </c>
      <c r="M76" s="1">
        <f t="shared" si="5"/>
        <v>96829</v>
      </c>
      <c r="N76" s="4">
        <f t="shared" si="6"/>
        <v>56.138937042340899</v>
      </c>
      <c r="O76" s="1">
        <v>63</v>
      </c>
      <c r="P76" s="1">
        <f t="shared" si="7"/>
        <v>145514</v>
      </c>
      <c r="Q76" s="1">
        <v>172481</v>
      </c>
      <c r="R76" s="1">
        <v>26967</v>
      </c>
      <c r="S76" s="1" t="s">
        <v>26</v>
      </c>
      <c r="T76" s="1" t="s">
        <v>32</v>
      </c>
    </row>
    <row r="77" spans="1:20" x14ac:dyDescent="0.3">
      <c r="A77" s="2">
        <v>45002</v>
      </c>
      <c r="B77" s="1" t="s">
        <v>43</v>
      </c>
      <c r="C77" s="1" t="s">
        <v>21</v>
      </c>
      <c r="D77" s="1">
        <v>2023</v>
      </c>
      <c r="E77" s="1" t="s">
        <v>33</v>
      </c>
      <c r="F77" s="1" t="s">
        <v>23</v>
      </c>
      <c r="G77" s="1" t="s">
        <v>24</v>
      </c>
      <c r="H77" s="1" t="s">
        <v>37</v>
      </c>
      <c r="I77" s="1">
        <v>161570</v>
      </c>
      <c r="J77" s="1">
        <v>34587</v>
      </c>
      <c r="K77" s="1">
        <v>12215</v>
      </c>
      <c r="L77" s="1">
        <f t="shared" si="4"/>
        <v>126983</v>
      </c>
      <c r="M77" s="1">
        <f t="shared" si="5"/>
        <v>114768</v>
      </c>
      <c r="N77" s="4">
        <f t="shared" si="6"/>
        <v>71.032988797425261</v>
      </c>
      <c r="O77" s="1">
        <v>14</v>
      </c>
      <c r="P77" s="1">
        <f t="shared" si="7"/>
        <v>123771</v>
      </c>
      <c r="Q77" s="1">
        <v>161570</v>
      </c>
      <c r="R77" s="1">
        <v>37799</v>
      </c>
      <c r="S77" s="1" t="s">
        <v>31</v>
      </c>
      <c r="T77" s="1" t="s">
        <v>27</v>
      </c>
    </row>
    <row r="78" spans="1:20" x14ac:dyDescent="0.3">
      <c r="A78" s="2">
        <v>45003</v>
      </c>
      <c r="B78" s="1" t="s">
        <v>43</v>
      </c>
      <c r="C78" s="1" t="s">
        <v>21</v>
      </c>
      <c r="D78" s="1">
        <v>2023</v>
      </c>
      <c r="E78" s="1" t="s">
        <v>40</v>
      </c>
      <c r="F78" s="1" t="s">
        <v>35</v>
      </c>
      <c r="G78" s="1" t="s">
        <v>36</v>
      </c>
      <c r="H78" s="1" t="s">
        <v>25</v>
      </c>
      <c r="I78" s="1">
        <v>93074</v>
      </c>
      <c r="J78" s="1">
        <v>65401</v>
      </c>
      <c r="K78" s="1">
        <v>29729</v>
      </c>
      <c r="L78" s="1">
        <f t="shared" si="4"/>
        <v>27673</v>
      </c>
      <c r="M78" s="1">
        <f t="shared" si="5"/>
        <v>-2056</v>
      </c>
      <c r="N78" s="4">
        <f t="shared" si="6"/>
        <v>-2.2089949932311925</v>
      </c>
      <c r="O78" s="1">
        <v>56</v>
      </c>
      <c r="P78" s="1">
        <f t="shared" si="7"/>
        <v>96364</v>
      </c>
      <c r="Q78" s="1">
        <v>93074</v>
      </c>
      <c r="R78" s="1">
        <v>-3290</v>
      </c>
      <c r="S78" s="1" t="s">
        <v>34</v>
      </c>
      <c r="T78" s="1" t="s">
        <v>32</v>
      </c>
    </row>
    <row r="79" spans="1:20" x14ac:dyDescent="0.3">
      <c r="A79" s="2">
        <v>45004</v>
      </c>
      <c r="B79" s="1" t="s">
        <v>43</v>
      </c>
      <c r="C79" s="1" t="s">
        <v>21</v>
      </c>
      <c r="D79" s="1">
        <v>2023</v>
      </c>
      <c r="E79" s="1" t="s">
        <v>38</v>
      </c>
      <c r="F79" s="1" t="s">
        <v>41</v>
      </c>
      <c r="G79" s="1" t="s">
        <v>36</v>
      </c>
      <c r="H79" s="1" t="s">
        <v>25</v>
      </c>
      <c r="I79" s="1">
        <v>103713</v>
      </c>
      <c r="J79" s="1">
        <v>79924</v>
      </c>
      <c r="K79" s="1">
        <v>36422</v>
      </c>
      <c r="L79" s="1">
        <f t="shared" si="4"/>
        <v>23789</v>
      </c>
      <c r="M79" s="1">
        <f t="shared" si="5"/>
        <v>-12633</v>
      </c>
      <c r="N79" s="4">
        <f t="shared" si="6"/>
        <v>-12.180729513175784</v>
      </c>
      <c r="O79" s="1">
        <v>41</v>
      </c>
      <c r="P79" s="1">
        <f t="shared" si="7"/>
        <v>93655</v>
      </c>
      <c r="Q79" s="1">
        <v>103713</v>
      </c>
      <c r="R79" s="1">
        <v>10058</v>
      </c>
      <c r="S79" s="1" t="s">
        <v>31</v>
      </c>
      <c r="T79" s="1" t="s">
        <v>32</v>
      </c>
    </row>
    <row r="80" spans="1:20" x14ac:dyDescent="0.3">
      <c r="A80" s="2">
        <v>45005</v>
      </c>
      <c r="B80" s="1" t="s">
        <v>43</v>
      </c>
      <c r="C80" s="1" t="s">
        <v>21</v>
      </c>
      <c r="D80" s="1">
        <v>2023</v>
      </c>
      <c r="E80" s="1" t="s">
        <v>40</v>
      </c>
      <c r="F80" s="1" t="s">
        <v>41</v>
      </c>
      <c r="G80" s="1" t="s">
        <v>24</v>
      </c>
      <c r="H80" s="1" t="s">
        <v>37</v>
      </c>
      <c r="I80" s="1">
        <v>192397</v>
      </c>
      <c r="J80" s="1">
        <v>88819</v>
      </c>
      <c r="K80" s="1">
        <v>15101</v>
      </c>
      <c r="L80" s="1">
        <f t="shared" si="4"/>
        <v>103578</v>
      </c>
      <c r="M80" s="1">
        <f t="shared" si="5"/>
        <v>88477</v>
      </c>
      <c r="N80" s="4">
        <f t="shared" si="6"/>
        <v>45.986683784050683</v>
      </c>
      <c r="O80" s="1">
        <v>11</v>
      </c>
      <c r="P80" s="1">
        <f t="shared" si="7"/>
        <v>131445</v>
      </c>
      <c r="Q80" s="1">
        <v>192397</v>
      </c>
      <c r="R80" s="1">
        <v>60952</v>
      </c>
      <c r="S80" s="1" t="s">
        <v>26</v>
      </c>
      <c r="T80" s="1" t="s">
        <v>27</v>
      </c>
    </row>
    <row r="81" spans="1:20" x14ac:dyDescent="0.3">
      <c r="A81" s="2">
        <v>45006</v>
      </c>
      <c r="B81" s="1" t="s">
        <v>43</v>
      </c>
      <c r="C81" s="1" t="s">
        <v>21</v>
      </c>
      <c r="D81" s="1">
        <v>2023</v>
      </c>
      <c r="E81" s="1" t="s">
        <v>22</v>
      </c>
      <c r="F81" s="1" t="s">
        <v>35</v>
      </c>
      <c r="G81" s="1" t="s">
        <v>24</v>
      </c>
      <c r="H81" s="1" t="s">
        <v>25</v>
      </c>
      <c r="I81" s="1">
        <v>185328</v>
      </c>
      <c r="J81" s="1">
        <v>82881</v>
      </c>
      <c r="K81" s="1">
        <v>34654</v>
      </c>
      <c r="L81" s="1">
        <f t="shared" si="4"/>
        <v>102447</v>
      </c>
      <c r="M81" s="1">
        <f t="shared" si="5"/>
        <v>67793</v>
      </c>
      <c r="N81" s="4">
        <f t="shared" si="6"/>
        <v>36.580009496676162</v>
      </c>
      <c r="O81" s="1">
        <v>15</v>
      </c>
      <c r="P81" s="1">
        <f t="shared" si="7"/>
        <v>130533</v>
      </c>
      <c r="Q81" s="1">
        <v>185328</v>
      </c>
      <c r="R81" s="1">
        <v>54795</v>
      </c>
      <c r="S81" s="1" t="s">
        <v>34</v>
      </c>
      <c r="T81" s="1" t="s">
        <v>27</v>
      </c>
    </row>
    <row r="82" spans="1:20" x14ac:dyDescent="0.3">
      <c r="A82" s="2">
        <v>45007</v>
      </c>
      <c r="B82" s="1" t="s">
        <v>43</v>
      </c>
      <c r="C82" s="1" t="s">
        <v>21</v>
      </c>
      <c r="D82" s="1">
        <v>2023</v>
      </c>
      <c r="E82" s="1" t="s">
        <v>22</v>
      </c>
      <c r="F82" s="1" t="s">
        <v>35</v>
      </c>
      <c r="G82" s="1" t="s">
        <v>24</v>
      </c>
      <c r="H82" s="1" t="s">
        <v>39</v>
      </c>
      <c r="I82" s="1">
        <v>52227</v>
      </c>
      <c r="J82" s="1">
        <v>89587</v>
      </c>
      <c r="K82" s="1">
        <v>26570</v>
      </c>
      <c r="L82" s="1">
        <f t="shared" si="4"/>
        <v>-37360</v>
      </c>
      <c r="M82" s="1">
        <f t="shared" si="5"/>
        <v>-63930</v>
      </c>
      <c r="N82" s="4">
        <f t="shared" si="6"/>
        <v>-122.4079499109656</v>
      </c>
      <c r="O82" s="1">
        <v>78</v>
      </c>
      <c r="P82" s="1">
        <f t="shared" si="7"/>
        <v>112078</v>
      </c>
      <c r="Q82" s="1">
        <v>52227</v>
      </c>
      <c r="R82" s="1">
        <v>-59851</v>
      </c>
      <c r="S82" s="1" t="s">
        <v>26</v>
      </c>
      <c r="T82" s="1" t="s">
        <v>27</v>
      </c>
    </row>
    <row r="83" spans="1:20" x14ac:dyDescent="0.3">
      <c r="A83" s="2">
        <v>45008</v>
      </c>
      <c r="B83" s="1" t="s">
        <v>43</v>
      </c>
      <c r="C83" s="1" t="s">
        <v>21</v>
      </c>
      <c r="D83" s="1">
        <v>2023</v>
      </c>
      <c r="E83" s="1" t="s">
        <v>40</v>
      </c>
      <c r="F83" s="1" t="s">
        <v>28</v>
      </c>
      <c r="G83" s="1" t="s">
        <v>36</v>
      </c>
      <c r="H83" s="1" t="s">
        <v>39</v>
      </c>
      <c r="I83" s="1">
        <v>140771</v>
      </c>
      <c r="J83" s="1">
        <v>65492</v>
      </c>
      <c r="K83" s="1">
        <v>48503</v>
      </c>
      <c r="L83" s="1">
        <f t="shared" si="4"/>
        <v>75279</v>
      </c>
      <c r="M83" s="1">
        <f t="shared" si="5"/>
        <v>26776</v>
      </c>
      <c r="N83" s="4">
        <f t="shared" si="6"/>
        <v>19.02096312450718</v>
      </c>
      <c r="O83" s="1">
        <v>15</v>
      </c>
      <c r="P83" s="1">
        <f t="shared" si="7"/>
        <v>60973</v>
      </c>
      <c r="Q83" s="1">
        <v>140771</v>
      </c>
      <c r="R83" s="1">
        <v>79798</v>
      </c>
      <c r="S83" s="1" t="s">
        <v>34</v>
      </c>
      <c r="T83" s="1" t="s">
        <v>32</v>
      </c>
    </row>
    <row r="84" spans="1:20" x14ac:dyDescent="0.3">
      <c r="A84" s="2">
        <v>45009</v>
      </c>
      <c r="B84" s="1" t="s">
        <v>43</v>
      </c>
      <c r="C84" s="1" t="s">
        <v>21</v>
      </c>
      <c r="D84" s="1">
        <v>2023</v>
      </c>
      <c r="E84" s="1" t="s">
        <v>38</v>
      </c>
      <c r="F84" s="1" t="s">
        <v>41</v>
      </c>
      <c r="G84" s="1" t="s">
        <v>29</v>
      </c>
      <c r="H84" s="1" t="s">
        <v>25</v>
      </c>
      <c r="I84" s="1">
        <v>120843</v>
      </c>
      <c r="J84" s="1">
        <v>78484</v>
      </c>
      <c r="K84" s="1">
        <v>11516</v>
      </c>
      <c r="L84" s="1">
        <f t="shared" si="4"/>
        <v>42359</v>
      </c>
      <c r="M84" s="1">
        <f t="shared" si="5"/>
        <v>30843</v>
      </c>
      <c r="N84" s="4">
        <f t="shared" si="6"/>
        <v>25.523199523348477</v>
      </c>
      <c r="O84" s="1">
        <v>15</v>
      </c>
      <c r="P84" s="1">
        <f t="shared" si="7"/>
        <v>95004</v>
      </c>
      <c r="Q84" s="1">
        <v>120843</v>
      </c>
      <c r="R84" s="1">
        <v>25839</v>
      </c>
      <c r="S84" s="1" t="s">
        <v>34</v>
      </c>
      <c r="T84" s="1" t="s">
        <v>32</v>
      </c>
    </row>
    <row r="85" spans="1:20" x14ac:dyDescent="0.3">
      <c r="A85" s="2">
        <v>45010</v>
      </c>
      <c r="B85" s="1" t="s">
        <v>43</v>
      </c>
      <c r="C85" s="1" t="s">
        <v>21</v>
      </c>
      <c r="D85" s="1">
        <v>2023</v>
      </c>
      <c r="E85" s="1" t="s">
        <v>33</v>
      </c>
      <c r="F85" s="1" t="s">
        <v>41</v>
      </c>
      <c r="G85" s="1" t="s">
        <v>29</v>
      </c>
      <c r="H85" s="1" t="s">
        <v>37</v>
      </c>
      <c r="I85" s="1">
        <v>62895</v>
      </c>
      <c r="J85" s="1">
        <v>40722</v>
      </c>
      <c r="K85" s="1">
        <v>25126</v>
      </c>
      <c r="L85" s="1">
        <f t="shared" si="4"/>
        <v>22173</v>
      </c>
      <c r="M85" s="1">
        <f t="shared" si="5"/>
        <v>-2953</v>
      </c>
      <c r="N85" s="4">
        <f t="shared" si="6"/>
        <v>-4.695126798632641</v>
      </c>
      <c r="O85" s="1">
        <v>97</v>
      </c>
      <c r="P85" s="1">
        <f t="shared" si="7"/>
        <v>131273</v>
      </c>
      <c r="Q85" s="1">
        <v>62895</v>
      </c>
      <c r="R85" s="1">
        <v>-68378</v>
      </c>
      <c r="S85" s="1" t="s">
        <v>31</v>
      </c>
      <c r="T85" s="1" t="s">
        <v>32</v>
      </c>
    </row>
    <row r="86" spans="1:20" x14ac:dyDescent="0.3">
      <c r="A86" s="2">
        <v>45011</v>
      </c>
      <c r="B86" s="1" t="s">
        <v>43</v>
      </c>
      <c r="C86" s="1" t="s">
        <v>21</v>
      </c>
      <c r="D86" s="1">
        <v>2023</v>
      </c>
      <c r="E86" s="1" t="s">
        <v>22</v>
      </c>
      <c r="F86" s="1" t="s">
        <v>35</v>
      </c>
      <c r="G86" s="1" t="s">
        <v>36</v>
      </c>
      <c r="H86" s="1" t="s">
        <v>39</v>
      </c>
      <c r="I86" s="1">
        <v>140982</v>
      </c>
      <c r="J86" s="1">
        <v>90916</v>
      </c>
      <c r="K86" s="1">
        <v>28681</v>
      </c>
      <c r="L86" s="1">
        <f t="shared" si="4"/>
        <v>50066</v>
      </c>
      <c r="M86" s="1">
        <f t="shared" si="5"/>
        <v>21385</v>
      </c>
      <c r="N86" s="4">
        <f t="shared" si="6"/>
        <v>15.168603084081656</v>
      </c>
      <c r="O86" s="1">
        <v>16</v>
      </c>
      <c r="P86" s="1">
        <f t="shared" si="7"/>
        <v>152826</v>
      </c>
      <c r="Q86" s="1">
        <v>140982</v>
      </c>
      <c r="R86" s="1">
        <v>-11844</v>
      </c>
      <c r="S86" s="1" t="s">
        <v>26</v>
      </c>
      <c r="T86" s="1" t="s">
        <v>27</v>
      </c>
    </row>
    <row r="87" spans="1:20" x14ac:dyDescent="0.3">
      <c r="A87" s="2">
        <v>45012</v>
      </c>
      <c r="B87" s="1" t="s">
        <v>43</v>
      </c>
      <c r="C87" s="1" t="s">
        <v>21</v>
      </c>
      <c r="D87" s="1">
        <v>2023</v>
      </c>
      <c r="E87" s="1" t="s">
        <v>38</v>
      </c>
      <c r="F87" s="1" t="s">
        <v>35</v>
      </c>
      <c r="G87" s="1" t="s">
        <v>36</v>
      </c>
      <c r="H87" s="1" t="s">
        <v>30</v>
      </c>
      <c r="I87" s="1">
        <v>56455</v>
      </c>
      <c r="J87" s="1">
        <v>29201</v>
      </c>
      <c r="K87" s="1">
        <v>38016</v>
      </c>
      <c r="L87" s="1">
        <f t="shared" si="4"/>
        <v>27254</v>
      </c>
      <c r="M87" s="1">
        <f t="shared" si="5"/>
        <v>-10762</v>
      </c>
      <c r="N87" s="4">
        <f t="shared" si="6"/>
        <v>-19.062970507483836</v>
      </c>
      <c r="O87" s="1">
        <v>17</v>
      </c>
      <c r="P87" s="1">
        <f t="shared" si="7"/>
        <v>122367</v>
      </c>
      <c r="Q87" s="1">
        <v>56455</v>
      </c>
      <c r="R87" s="1">
        <v>-65912</v>
      </c>
      <c r="S87" s="1" t="s">
        <v>26</v>
      </c>
      <c r="T87" s="1" t="s">
        <v>27</v>
      </c>
    </row>
    <row r="88" spans="1:20" x14ac:dyDescent="0.3">
      <c r="A88" s="2">
        <v>45013</v>
      </c>
      <c r="B88" s="1" t="s">
        <v>43</v>
      </c>
      <c r="C88" s="1" t="s">
        <v>21</v>
      </c>
      <c r="D88" s="1">
        <v>2023</v>
      </c>
      <c r="E88" s="1" t="s">
        <v>33</v>
      </c>
      <c r="F88" s="1" t="s">
        <v>28</v>
      </c>
      <c r="G88" s="1" t="s">
        <v>29</v>
      </c>
      <c r="H88" s="1" t="s">
        <v>30</v>
      </c>
      <c r="I88" s="1">
        <v>120973</v>
      </c>
      <c r="J88" s="1">
        <v>28997</v>
      </c>
      <c r="K88" s="1">
        <v>49306</v>
      </c>
      <c r="L88" s="1">
        <f t="shared" si="4"/>
        <v>91976</v>
      </c>
      <c r="M88" s="1">
        <f t="shared" si="5"/>
        <v>42670</v>
      </c>
      <c r="N88" s="4">
        <f t="shared" si="6"/>
        <v>35.272333495904043</v>
      </c>
      <c r="O88" s="1">
        <v>79</v>
      </c>
      <c r="P88" s="1">
        <f t="shared" si="7"/>
        <v>63583</v>
      </c>
      <c r="Q88" s="1">
        <v>120973</v>
      </c>
      <c r="R88" s="1">
        <v>57390</v>
      </c>
      <c r="S88" s="1" t="s">
        <v>31</v>
      </c>
      <c r="T88" s="1" t="s">
        <v>27</v>
      </c>
    </row>
    <row r="89" spans="1:20" x14ac:dyDescent="0.3">
      <c r="A89" s="2">
        <v>45014</v>
      </c>
      <c r="B89" s="1" t="s">
        <v>43</v>
      </c>
      <c r="C89" s="1" t="s">
        <v>21</v>
      </c>
      <c r="D89" s="1">
        <v>2023</v>
      </c>
      <c r="E89" s="1" t="s">
        <v>38</v>
      </c>
      <c r="F89" s="1" t="s">
        <v>23</v>
      </c>
      <c r="G89" s="1" t="s">
        <v>24</v>
      </c>
      <c r="H89" s="1" t="s">
        <v>25</v>
      </c>
      <c r="I89" s="1">
        <v>144269</v>
      </c>
      <c r="J89" s="1">
        <v>38652</v>
      </c>
      <c r="K89" s="1">
        <v>49540</v>
      </c>
      <c r="L89" s="1">
        <f t="shared" si="4"/>
        <v>105617</v>
      </c>
      <c r="M89" s="1">
        <f t="shared" si="5"/>
        <v>56077</v>
      </c>
      <c r="N89" s="4">
        <f t="shared" si="6"/>
        <v>38.869750258198223</v>
      </c>
      <c r="O89" s="1">
        <v>23</v>
      </c>
      <c r="P89" s="1">
        <f t="shared" si="7"/>
        <v>104072</v>
      </c>
      <c r="Q89" s="1">
        <v>144269</v>
      </c>
      <c r="R89" s="1">
        <v>40197</v>
      </c>
      <c r="S89" s="1" t="s">
        <v>34</v>
      </c>
      <c r="T89" s="1" t="s">
        <v>32</v>
      </c>
    </row>
    <row r="90" spans="1:20" x14ac:dyDescent="0.3">
      <c r="A90" s="2">
        <v>45015</v>
      </c>
      <c r="B90" s="1" t="s">
        <v>43</v>
      </c>
      <c r="C90" s="1" t="s">
        <v>21</v>
      </c>
      <c r="D90" s="1">
        <v>2023</v>
      </c>
      <c r="E90" s="1" t="s">
        <v>40</v>
      </c>
      <c r="F90" s="1" t="s">
        <v>23</v>
      </c>
      <c r="G90" s="1" t="s">
        <v>36</v>
      </c>
      <c r="H90" s="1" t="s">
        <v>25</v>
      </c>
      <c r="I90" s="1">
        <v>167658</v>
      </c>
      <c r="J90" s="1">
        <v>56564</v>
      </c>
      <c r="K90" s="1">
        <v>32615</v>
      </c>
      <c r="L90" s="1">
        <f t="shared" si="4"/>
        <v>111094</v>
      </c>
      <c r="M90" s="1">
        <f t="shared" si="5"/>
        <v>78479</v>
      </c>
      <c r="N90" s="4">
        <f t="shared" si="6"/>
        <v>46.808980185854537</v>
      </c>
      <c r="O90" s="1">
        <v>26</v>
      </c>
      <c r="P90" s="1">
        <f t="shared" si="7"/>
        <v>97378</v>
      </c>
      <c r="Q90" s="1">
        <v>167658</v>
      </c>
      <c r="R90" s="1">
        <v>70280</v>
      </c>
      <c r="S90" s="1" t="s">
        <v>34</v>
      </c>
      <c r="T90" s="1" t="s">
        <v>27</v>
      </c>
    </row>
    <row r="91" spans="1:20" x14ac:dyDescent="0.3">
      <c r="A91" s="2">
        <v>45016</v>
      </c>
      <c r="B91" s="1" t="s">
        <v>43</v>
      </c>
      <c r="C91" s="1" t="s">
        <v>21</v>
      </c>
      <c r="D91" s="1">
        <v>2023</v>
      </c>
      <c r="E91" s="1" t="s">
        <v>38</v>
      </c>
      <c r="F91" s="1" t="s">
        <v>41</v>
      </c>
      <c r="G91" s="1" t="s">
        <v>24</v>
      </c>
      <c r="H91" s="1" t="s">
        <v>39</v>
      </c>
      <c r="I91" s="1">
        <v>60362</v>
      </c>
      <c r="J91" s="1">
        <v>97311</v>
      </c>
      <c r="K91" s="1">
        <v>20755</v>
      </c>
      <c r="L91" s="1">
        <f t="shared" si="4"/>
        <v>-36949</v>
      </c>
      <c r="M91" s="1">
        <f t="shared" si="5"/>
        <v>-57704</v>
      </c>
      <c r="N91" s="4">
        <f t="shared" si="6"/>
        <v>-95.596567376826485</v>
      </c>
      <c r="O91" s="1">
        <v>42</v>
      </c>
      <c r="P91" s="1">
        <f t="shared" si="7"/>
        <v>131213</v>
      </c>
      <c r="Q91" s="1">
        <v>60362</v>
      </c>
      <c r="R91" s="1">
        <v>-70851</v>
      </c>
      <c r="S91" s="1" t="s">
        <v>34</v>
      </c>
      <c r="T91" s="1" t="s">
        <v>27</v>
      </c>
    </row>
    <row r="92" spans="1:20" x14ac:dyDescent="0.3">
      <c r="A92" s="2">
        <v>45017</v>
      </c>
      <c r="B92" s="1" t="s">
        <v>44</v>
      </c>
      <c r="C92" s="1" t="s">
        <v>45</v>
      </c>
      <c r="D92" s="1">
        <v>2023</v>
      </c>
      <c r="E92" s="1" t="s">
        <v>33</v>
      </c>
      <c r="F92" s="1" t="s">
        <v>41</v>
      </c>
      <c r="G92" s="1" t="s">
        <v>24</v>
      </c>
      <c r="H92" s="1" t="s">
        <v>37</v>
      </c>
      <c r="I92" s="1">
        <v>180090</v>
      </c>
      <c r="J92" s="1">
        <v>47856</v>
      </c>
      <c r="K92" s="1">
        <v>45742</v>
      </c>
      <c r="L92" s="1">
        <f t="shared" si="4"/>
        <v>132234</v>
      </c>
      <c r="M92" s="1">
        <f t="shared" si="5"/>
        <v>86492</v>
      </c>
      <c r="N92" s="4">
        <f t="shared" si="6"/>
        <v>48.027097562329942</v>
      </c>
      <c r="O92" s="1">
        <v>75</v>
      </c>
      <c r="P92" s="1">
        <f t="shared" si="7"/>
        <v>143179</v>
      </c>
      <c r="Q92" s="1">
        <v>180090</v>
      </c>
      <c r="R92" s="1">
        <v>36911</v>
      </c>
      <c r="S92" s="1" t="s">
        <v>26</v>
      </c>
      <c r="T92" s="1" t="s">
        <v>32</v>
      </c>
    </row>
    <row r="93" spans="1:20" x14ac:dyDescent="0.3">
      <c r="A93" s="2">
        <v>45018</v>
      </c>
      <c r="B93" s="1" t="s">
        <v>44</v>
      </c>
      <c r="C93" s="1" t="s">
        <v>45</v>
      </c>
      <c r="D93" s="1">
        <v>2023</v>
      </c>
      <c r="E93" s="1" t="s">
        <v>33</v>
      </c>
      <c r="F93" s="1" t="s">
        <v>41</v>
      </c>
      <c r="G93" s="1" t="s">
        <v>24</v>
      </c>
      <c r="H93" s="1" t="s">
        <v>39</v>
      </c>
      <c r="I93" s="1">
        <v>84602</v>
      </c>
      <c r="J93" s="1">
        <v>46041</v>
      </c>
      <c r="K93" s="1">
        <v>28169</v>
      </c>
      <c r="L93" s="1">
        <f t="shared" si="4"/>
        <v>38561</v>
      </c>
      <c r="M93" s="1">
        <f t="shared" si="5"/>
        <v>10392</v>
      </c>
      <c r="N93" s="4">
        <f t="shared" si="6"/>
        <v>12.283397555613343</v>
      </c>
      <c r="O93" s="1">
        <v>75</v>
      </c>
      <c r="P93" s="1">
        <f t="shared" si="7"/>
        <v>135768</v>
      </c>
      <c r="Q93" s="1">
        <v>84602</v>
      </c>
      <c r="R93" s="1">
        <v>-51166</v>
      </c>
      <c r="S93" s="1" t="s">
        <v>26</v>
      </c>
      <c r="T93" s="1" t="s">
        <v>27</v>
      </c>
    </row>
    <row r="94" spans="1:20" x14ac:dyDescent="0.3">
      <c r="A94" s="2">
        <v>45019</v>
      </c>
      <c r="B94" s="1" t="s">
        <v>44</v>
      </c>
      <c r="C94" s="1" t="s">
        <v>45</v>
      </c>
      <c r="D94" s="1">
        <v>2023</v>
      </c>
      <c r="E94" s="1" t="s">
        <v>33</v>
      </c>
      <c r="F94" s="1" t="s">
        <v>23</v>
      </c>
      <c r="G94" s="1" t="s">
        <v>24</v>
      </c>
      <c r="H94" s="1" t="s">
        <v>39</v>
      </c>
      <c r="I94" s="1">
        <v>70897</v>
      </c>
      <c r="J94" s="1">
        <v>64391</v>
      </c>
      <c r="K94" s="1">
        <v>47368</v>
      </c>
      <c r="L94" s="1">
        <f t="shared" si="4"/>
        <v>6506</v>
      </c>
      <c r="M94" s="1">
        <f t="shared" si="5"/>
        <v>-40862</v>
      </c>
      <c r="N94" s="4">
        <f t="shared" si="6"/>
        <v>-57.635725065940733</v>
      </c>
      <c r="O94" s="1">
        <v>30</v>
      </c>
      <c r="P94" s="1">
        <f t="shared" si="7"/>
        <v>152245</v>
      </c>
      <c r="Q94" s="1">
        <v>70897</v>
      </c>
      <c r="R94" s="1">
        <v>-81348</v>
      </c>
      <c r="S94" s="1" t="s">
        <v>31</v>
      </c>
      <c r="T94" s="1" t="s">
        <v>32</v>
      </c>
    </row>
    <row r="95" spans="1:20" x14ac:dyDescent="0.3">
      <c r="A95" s="2">
        <v>45020</v>
      </c>
      <c r="B95" s="1" t="s">
        <v>44</v>
      </c>
      <c r="C95" s="1" t="s">
        <v>45</v>
      </c>
      <c r="D95" s="1">
        <v>2023</v>
      </c>
      <c r="E95" s="1" t="s">
        <v>22</v>
      </c>
      <c r="F95" s="1" t="s">
        <v>41</v>
      </c>
      <c r="G95" s="1" t="s">
        <v>36</v>
      </c>
      <c r="H95" s="1" t="s">
        <v>37</v>
      </c>
      <c r="I95" s="1">
        <v>193307</v>
      </c>
      <c r="J95" s="1">
        <v>54220</v>
      </c>
      <c r="K95" s="1">
        <v>24946</v>
      </c>
      <c r="L95" s="1">
        <f t="shared" si="4"/>
        <v>139087</v>
      </c>
      <c r="M95" s="1">
        <f t="shared" si="5"/>
        <v>114141</v>
      </c>
      <c r="N95" s="4">
        <f t="shared" si="6"/>
        <v>59.046490815128273</v>
      </c>
      <c r="O95" s="1">
        <v>13</v>
      </c>
      <c r="P95" s="1">
        <f t="shared" si="7"/>
        <v>118427</v>
      </c>
      <c r="Q95" s="1">
        <v>193307</v>
      </c>
      <c r="R95" s="1">
        <v>74880</v>
      </c>
      <c r="S95" s="1" t="s">
        <v>26</v>
      </c>
      <c r="T95" s="1" t="s">
        <v>27</v>
      </c>
    </row>
    <row r="96" spans="1:20" x14ac:dyDescent="0.3">
      <c r="A96" s="2">
        <v>45021</v>
      </c>
      <c r="B96" s="1" t="s">
        <v>44</v>
      </c>
      <c r="C96" s="1" t="s">
        <v>45</v>
      </c>
      <c r="D96" s="1">
        <v>2023</v>
      </c>
      <c r="E96" s="1" t="s">
        <v>38</v>
      </c>
      <c r="F96" s="1" t="s">
        <v>41</v>
      </c>
      <c r="G96" s="1" t="s">
        <v>24</v>
      </c>
      <c r="H96" s="1" t="s">
        <v>37</v>
      </c>
      <c r="I96" s="1">
        <v>68242</v>
      </c>
      <c r="J96" s="1">
        <v>33114</v>
      </c>
      <c r="K96" s="1">
        <v>45895</v>
      </c>
      <c r="L96" s="1">
        <f t="shared" si="4"/>
        <v>35128</v>
      </c>
      <c r="M96" s="1">
        <f t="shared" si="5"/>
        <v>-10767</v>
      </c>
      <c r="N96" s="4">
        <f t="shared" si="6"/>
        <v>-15.777673573459161</v>
      </c>
      <c r="O96" s="1">
        <v>31</v>
      </c>
      <c r="P96" s="1">
        <f t="shared" si="7"/>
        <v>121561</v>
      </c>
      <c r="Q96" s="1">
        <v>68242</v>
      </c>
      <c r="R96" s="1">
        <v>-53319</v>
      </c>
      <c r="S96" s="1" t="s">
        <v>26</v>
      </c>
      <c r="T96" s="1" t="s">
        <v>27</v>
      </c>
    </row>
    <row r="97" spans="1:20" x14ac:dyDescent="0.3">
      <c r="A97" s="2">
        <v>45022</v>
      </c>
      <c r="B97" s="1" t="s">
        <v>44</v>
      </c>
      <c r="C97" s="1" t="s">
        <v>45</v>
      </c>
      <c r="D97" s="1">
        <v>2023</v>
      </c>
      <c r="E97" s="1" t="s">
        <v>38</v>
      </c>
      <c r="F97" s="1" t="s">
        <v>41</v>
      </c>
      <c r="G97" s="1" t="s">
        <v>29</v>
      </c>
      <c r="H97" s="1" t="s">
        <v>39</v>
      </c>
      <c r="I97" s="1">
        <v>119065</v>
      </c>
      <c r="J97" s="1">
        <v>23898</v>
      </c>
      <c r="K97" s="1">
        <v>35793</v>
      </c>
      <c r="L97" s="1">
        <f t="shared" si="4"/>
        <v>95167</v>
      </c>
      <c r="M97" s="1">
        <f t="shared" si="5"/>
        <v>59374</v>
      </c>
      <c r="N97" s="4">
        <f t="shared" si="6"/>
        <v>49.866879435602399</v>
      </c>
      <c r="O97" s="1">
        <v>55</v>
      </c>
      <c r="P97" s="1">
        <f t="shared" si="7"/>
        <v>88717</v>
      </c>
      <c r="Q97" s="1">
        <v>119065</v>
      </c>
      <c r="R97" s="1">
        <v>30348</v>
      </c>
      <c r="S97" s="1" t="s">
        <v>26</v>
      </c>
      <c r="T97" s="1" t="s">
        <v>27</v>
      </c>
    </row>
    <row r="98" spans="1:20" x14ac:dyDescent="0.3">
      <c r="A98" s="2">
        <v>45023</v>
      </c>
      <c r="B98" s="1" t="s">
        <v>44</v>
      </c>
      <c r="C98" s="1" t="s">
        <v>45</v>
      </c>
      <c r="D98" s="1">
        <v>2023</v>
      </c>
      <c r="E98" s="1" t="s">
        <v>33</v>
      </c>
      <c r="F98" s="1" t="s">
        <v>28</v>
      </c>
      <c r="G98" s="1" t="s">
        <v>36</v>
      </c>
      <c r="H98" s="1" t="s">
        <v>25</v>
      </c>
      <c r="I98" s="1">
        <v>100707</v>
      </c>
      <c r="J98" s="1">
        <v>74879</v>
      </c>
      <c r="K98" s="1">
        <v>16087</v>
      </c>
      <c r="L98" s="1">
        <f t="shared" si="4"/>
        <v>25828</v>
      </c>
      <c r="M98" s="1">
        <f t="shared" si="5"/>
        <v>9741</v>
      </c>
      <c r="N98" s="4">
        <f t="shared" si="6"/>
        <v>9.672614614674254</v>
      </c>
      <c r="O98" s="1">
        <v>48</v>
      </c>
      <c r="P98" s="1">
        <f t="shared" si="7"/>
        <v>150667</v>
      </c>
      <c r="Q98" s="1">
        <v>100707</v>
      </c>
      <c r="R98" s="1">
        <v>-49960</v>
      </c>
      <c r="S98" s="1" t="s">
        <v>34</v>
      </c>
      <c r="T98" s="1" t="s">
        <v>32</v>
      </c>
    </row>
    <row r="99" spans="1:20" x14ac:dyDescent="0.3">
      <c r="A99" s="2">
        <v>45024</v>
      </c>
      <c r="B99" s="1" t="s">
        <v>44</v>
      </c>
      <c r="C99" s="1" t="s">
        <v>45</v>
      </c>
      <c r="D99" s="1">
        <v>2023</v>
      </c>
      <c r="E99" s="1" t="s">
        <v>38</v>
      </c>
      <c r="F99" s="1" t="s">
        <v>41</v>
      </c>
      <c r="G99" s="1" t="s">
        <v>36</v>
      </c>
      <c r="H99" s="1" t="s">
        <v>37</v>
      </c>
      <c r="I99" s="1">
        <v>54581</v>
      </c>
      <c r="J99" s="1">
        <v>77656</v>
      </c>
      <c r="K99" s="1">
        <v>10671</v>
      </c>
      <c r="L99" s="1">
        <f t="shared" si="4"/>
        <v>-23075</v>
      </c>
      <c r="M99" s="1">
        <f t="shared" si="5"/>
        <v>-33746</v>
      </c>
      <c r="N99" s="4">
        <f t="shared" si="6"/>
        <v>-61.827375826752892</v>
      </c>
      <c r="O99" s="1">
        <v>24</v>
      </c>
      <c r="P99" s="1">
        <f t="shared" si="7"/>
        <v>122110</v>
      </c>
      <c r="Q99" s="1">
        <v>54581</v>
      </c>
      <c r="R99" s="1">
        <v>-67529</v>
      </c>
      <c r="S99" s="1" t="s">
        <v>31</v>
      </c>
      <c r="T99" s="1" t="s">
        <v>32</v>
      </c>
    </row>
    <row r="100" spans="1:20" x14ac:dyDescent="0.3">
      <c r="A100" s="2">
        <v>45025</v>
      </c>
      <c r="B100" s="1" t="s">
        <v>44</v>
      </c>
      <c r="C100" s="1" t="s">
        <v>45</v>
      </c>
      <c r="D100" s="1">
        <v>2023</v>
      </c>
      <c r="E100" s="1" t="s">
        <v>40</v>
      </c>
      <c r="F100" s="1" t="s">
        <v>28</v>
      </c>
      <c r="G100" s="1" t="s">
        <v>36</v>
      </c>
      <c r="H100" s="1" t="s">
        <v>25</v>
      </c>
      <c r="I100" s="1">
        <v>111257</v>
      </c>
      <c r="J100" s="1">
        <v>44265</v>
      </c>
      <c r="K100" s="1">
        <v>33414</v>
      </c>
      <c r="L100" s="1">
        <f t="shared" si="4"/>
        <v>66992</v>
      </c>
      <c r="M100" s="1">
        <f t="shared" si="5"/>
        <v>33578</v>
      </c>
      <c r="N100" s="4">
        <f t="shared" si="6"/>
        <v>30.180572907772095</v>
      </c>
      <c r="O100" s="1">
        <v>14</v>
      </c>
      <c r="P100" s="1">
        <f t="shared" si="7"/>
        <v>86502</v>
      </c>
      <c r="Q100" s="1">
        <v>111257</v>
      </c>
      <c r="R100" s="1">
        <v>24755</v>
      </c>
      <c r="S100" s="1" t="s">
        <v>31</v>
      </c>
      <c r="T100" s="1" t="s">
        <v>27</v>
      </c>
    </row>
    <row r="101" spans="1:20" x14ac:dyDescent="0.3">
      <c r="A101" s="2">
        <v>45026</v>
      </c>
      <c r="B101" s="1" t="s">
        <v>44</v>
      </c>
      <c r="C101" s="1" t="s">
        <v>45</v>
      </c>
      <c r="D101" s="1">
        <v>2023</v>
      </c>
      <c r="E101" s="1" t="s">
        <v>22</v>
      </c>
      <c r="F101" s="1" t="s">
        <v>41</v>
      </c>
      <c r="G101" s="1" t="s">
        <v>29</v>
      </c>
      <c r="H101" s="1" t="s">
        <v>25</v>
      </c>
      <c r="I101" s="1">
        <v>115766</v>
      </c>
      <c r="J101" s="1">
        <v>61662</v>
      </c>
      <c r="K101" s="1">
        <v>25062</v>
      </c>
      <c r="L101" s="1">
        <f t="shared" si="4"/>
        <v>54104</v>
      </c>
      <c r="M101" s="1">
        <f t="shared" si="5"/>
        <v>29042</v>
      </c>
      <c r="N101" s="4">
        <f t="shared" si="6"/>
        <v>25.086813053919109</v>
      </c>
      <c r="O101" s="1">
        <v>68</v>
      </c>
      <c r="P101" s="1">
        <f t="shared" si="7"/>
        <v>140652</v>
      </c>
      <c r="Q101" s="1">
        <v>115766</v>
      </c>
      <c r="R101" s="1">
        <v>-24886</v>
      </c>
      <c r="S101" s="1" t="s">
        <v>34</v>
      </c>
      <c r="T101" s="1" t="s">
        <v>27</v>
      </c>
    </row>
    <row r="102" spans="1:20" x14ac:dyDescent="0.3">
      <c r="A102" s="2">
        <v>45027</v>
      </c>
      <c r="B102" s="1" t="s">
        <v>44</v>
      </c>
      <c r="C102" s="1" t="s">
        <v>45</v>
      </c>
      <c r="D102" s="1">
        <v>2023</v>
      </c>
      <c r="E102" s="1" t="s">
        <v>38</v>
      </c>
      <c r="F102" s="1" t="s">
        <v>35</v>
      </c>
      <c r="G102" s="1" t="s">
        <v>36</v>
      </c>
      <c r="H102" s="1" t="s">
        <v>37</v>
      </c>
      <c r="I102" s="1">
        <v>55974</v>
      </c>
      <c r="J102" s="1">
        <v>73766</v>
      </c>
      <c r="K102" s="1">
        <v>22524</v>
      </c>
      <c r="L102" s="1">
        <f t="shared" si="4"/>
        <v>-17792</v>
      </c>
      <c r="M102" s="1">
        <f t="shared" si="5"/>
        <v>-40316</v>
      </c>
      <c r="N102" s="4">
        <f t="shared" si="6"/>
        <v>-72.026297924036157</v>
      </c>
      <c r="O102" s="1">
        <v>32</v>
      </c>
      <c r="P102" s="1">
        <f t="shared" si="7"/>
        <v>76776</v>
      </c>
      <c r="Q102" s="1">
        <v>55974</v>
      </c>
      <c r="R102" s="1">
        <v>-20802</v>
      </c>
      <c r="S102" s="1" t="s">
        <v>31</v>
      </c>
      <c r="T102" s="1" t="s">
        <v>32</v>
      </c>
    </row>
    <row r="103" spans="1:20" x14ac:dyDescent="0.3">
      <c r="A103" s="2">
        <v>45028</v>
      </c>
      <c r="B103" s="1" t="s">
        <v>44</v>
      </c>
      <c r="C103" s="1" t="s">
        <v>45</v>
      </c>
      <c r="D103" s="1">
        <v>2023</v>
      </c>
      <c r="E103" s="1" t="s">
        <v>33</v>
      </c>
      <c r="F103" s="1" t="s">
        <v>35</v>
      </c>
      <c r="G103" s="1" t="s">
        <v>24</v>
      </c>
      <c r="H103" s="1" t="s">
        <v>39</v>
      </c>
      <c r="I103" s="1">
        <v>65209</v>
      </c>
      <c r="J103" s="1">
        <v>32402</v>
      </c>
      <c r="K103" s="1">
        <v>25822</v>
      </c>
      <c r="L103" s="1">
        <f t="shared" si="4"/>
        <v>32807</v>
      </c>
      <c r="M103" s="1">
        <f t="shared" si="5"/>
        <v>6985</v>
      </c>
      <c r="N103" s="4">
        <f t="shared" si="6"/>
        <v>10.711711573555798</v>
      </c>
      <c r="O103" s="1">
        <v>49</v>
      </c>
      <c r="P103" s="1">
        <f t="shared" si="7"/>
        <v>85259</v>
      </c>
      <c r="Q103" s="1">
        <v>65209</v>
      </c>
      <c r="R103" s="1">
        <v>-20050</v>
      </c>
      <c r="S103" s="1" t="s">
        <v>34</v>
      </c>
      <c r="T103" s="1" t="s">
        <v>27</v>
      </c>
    </row>
    <row r="104" spans="1:20" x14ac:dyDescent="0.3">
      <c r="A104" s="2">
        <v>45029</v>
      </c>
      <c r="B104" s="1" t="s">
        <v>44</v>
      </c>
      <c r="C104" s="1" t="s">
        <v>45</v>
      </c>
      <c r="D104" s="1">
        <v>2023</v>
      </c>
      <c r="E104" s="1" t="s">
        <v>33</v>
      </c>
      <c r="F104" s="1" t="s">
        <v>28</v>
      </c>
      <c r="G104" s="1" t="s">
        <v>29</v>
      </c>
      <c r="H104" s="1" t="s">
        <v>37</v>
      </c>
      <c r="I104" s="1">
        <v>88385</v>
      </c>
      <c r="J104" s="1">
        <v>44796</v>
      </c>
      <c r="K104" s="1">
        <v>45588</v>
      </c>
      <c r="L104" s="1">
        <f t="shared" si="4"/>
        <v>43589</v>
      </c>
      <c r="M104" s="1">
        <f t="shared" si="5"/>
        <v>-1999</v>
      </c>
      <c r="N104" s="4">
        <f t="shared" si="6"/>
        <v>-2.2616959891384285</v>
      </c>
      <c r="O104" s="1">
        <v>89</v>
      </c>
      <c r="P104" s="1">
        <f t="shared" si="7"/>
        <v>159123</v>
      </c>
      <c r="Q104" s="1">
        <v>88385</v>
      </c>
      <c r="R104" s="1">
        <v>-70738</v>
      </c>
      <c r="S104" s="1" t="s">
        <v>31</v>
      </c>
      <c r="T104" s="1" t="s">
        <v>27</v>
      </c>
    </row>
    <row r="105" spans="1:20" x14ac:dyDescent="0.3">
      <c r="A105" s="2">
        <v>45030</v>
      </c>
      <c r="B105" s="1" t="s">
        <v>44</v>
      </c>
      <c r="C105" s="1" t="s">
        <v>45</v>
      </c>
      <c r="D105" s="1">
        <v>2023</v>
      </c>
      <c r="E105" s="1" t="s">
        <v>22</v>
      </c>
      <c r="F105" s="1" t="s">
        <v>35</v>
      </c>
      <c r="G105" s="1" t="s">
        <v>24</v>
      </c>
      <c r="H105" s="1" t="s">
        <v>30</v>
      </c>
      <c r="I105" s="1">
        <v>159407</v>
      </c>
      <c r="J105" s="1">
        <v>66461</v>
      </c>
      <c r="K105" s="1">
        <v>11694</v>
      </c>
      <c r="L105" s="1">
        <f t="shared" si="4"/>
        <v>92946</v>
      </c>
      <c r="M105" s="1">
        <f t="shared" si="5"/>
        <v>81252</v>
      </c>
      <c r="N105" s="4">
        <f t="shared" si="6"/>
        <v>50.971412798685122</v>
      </c>
      <c r="O105" s="1">
        <v>17</v>
      </c>
      <c r="P105" s="1">
        <f t="shared" si="7"/>
        <v>130533</v>
      </c>
      <c r="Q105" s="1">
        <v>159407</v>
      </c>
      <c r="R105" s="1">
        <v>28874</v>
      </c>
      <c r="S105" s="1" t="s">
        <v>34</v>
      </c>
      <c r="T105" s="1" t="s">
        <v>27</v>
      </c>
    </row>
    <row r="106" spans="1:20" x14ac:dyDescent="0.3">
      <c r="A106" s="2">
        <v>45031</v>
      </c>
      <c r="B106" s="1" t="s">
        <v>44</v>
      </c>
      <c r="C106" s="1" t="s">
        <v>45</v>
      </c>
      <c r="D106" s="1">
        <v>2023</v>
      </c>
      <c r="E106" s="1" t="s">
        <v>22</v>
      </c>
      <c r="F106" s="1" t="s">
        <v>23</v>
      </c>
      <c r="G106" s="1" t="s">
        <v>29</v>
      </c>
      <c r="H106" s="1" t="s">
        <v>39</v>
      </c>
      <c r="I106" s="1">
        <v>123002</v>
      </c>
      <c r="J106" s="1">
        <v>88150</v>
      </c>
      <c r="K106" s="1">
        <v>33277</v>
      </c>
      <c r="L106" s="1">
        <f t="shared" si="4"/>
        <v>34852</v>
      </c>
      <c r="M106" s="1">
        <f t="shared" si="5"/>
        <v>1575</v>
      </c>
      <c r="N106" s="4">
        <f t="shared" si="6"/>
        <v>1.2804669842766785</v>
      </c>
      <c r="O106" s="1">
        <v>14</v>
      </c>
      <c r="P106" s="1">
        <f t="shared" si="7"/>
        <v>173271</v>
      </c>
      <c r="Q106" s="1">
        <v>123002</v>
      </c>
      <c r="R106" s="1">
        <v>-50269</v>
      </c>
      <c r="S106" s="1" t="s">
        <v>26</v>
      </c>
      <c r="T106" s="1" t="s">
        <v>27</v>
      </c>
    </row>
    <row r="107" spans="1:20" x14ac:dyDescent="0.3">
      <c r="A107" s="2">
        <v>45032</v>
      </c>
      <c r="B107" s="1" t="s">
        <v>44</v>
      </c>
      <c r="C107" s="1" t="s">
        <v>45</v>
      </c>
      <c r="D107" s="1">
        <v>2023</v>
      </c>
      <c r="E107" s="1" t="s">
        <v>33</v>
      </c>
      <c r="F107" s="1" t="s">
        <v>35</v>
      </c>
      <c r="G107" s="1" t="s">
        <v>29</v>
      </c>
      <c r="H107" s="1" t="s">
        <v>39</v>
      </c>
      <c r="I107" s="1">
        <v>184257</v>
      </c>
      <c r="J107" s="1">
        <v>88481</v>
      </c>
      <c r="K107" s="1">
        <v>49006</v>
      </c>
      <c r="L107" s="1">
        <f t="shared" si="4"/>
        <v>95776</v>
      </c>
      <c r="M107" s="1">
        <f t="shared" si="5"/>
        <v>46770</v>
      </c>
      <c r="N107" s="4">
        <f t="shared" si="6"/>
        <v>25.383024796886954</v>
      </c>
      <c r="O107" s="1">
        <v>24</v>
      </c>
      <c r="P107" s="1">
        <f t="shared" si="7"/>
        <v>66590</v>
      </c>
      <c r="Q107" s="1">
        <v>184257</v>
      </c>
      <c r="R107" s="1">
        <v>117667</v>
      </c>
      <c r="S107" s="1" t="s">
        <v>34</v>
      </c>
      <c r="T107" s="1" t="s">
        <v>27</v>
      </c>
    </row>
    <row r="108" spans="1:20" x14ac:dyDescent="0.3">
      <c r="A108" s="2">
        <v>45033</v>
      </c>
      <c r="B108" s="1" t="s">
        <v>44</v>
      </c>
      <c r="C108" s="1" t="s">
        <v>45</v>
      </c>
      <c r="D108" s="1">
        <v>2023</v>
      </c>
      <c r="E108" s="1" t="s">
        <v>33</v>
      </c>
      <c r="F108" s="1" t="s">
        <v>23</v>
      </c>
      <c r="G108" s="1" t="s">
        <v>29</v>
      </c>
      <c r="H108" s="1" t="s">
        <v>30</v>
      </c>
      <c r="I108" s="1">
        <v>64212</v>
      </c>
      <c r="J108" s="1">
        <v>97120</v>
      </c>
      <c r="K108" s="1">
        <v>38909</v>
      </c>
      <c r="L108" s="1">
        <f t="shared" si="4"/>
        <v>-32908</v>
      </c>
      <c r="M108" s="1">
        <f t="shared" si="5"/>
        <v>-71817</v>
      </c>
      <c r="N108" s="4">
        <f t="shared" si="6"/>
        <v>-111.84358063913287</v>
      </c>
      <c r="O108" s="1">
        <v>53</v>
      </c>
      <c r="P108" s="1">
        <f t="shared" si="7"/>
        <v>162092</v>
      </c>
      <c r="Q108" s="1">
        <v>64212</v>
      </c>
      <c r="R108" s="1">
        <v>-97880</v>
      </c>
      <c r="S108" s="1" t="s">
        <v>31</v>
      </c>
      <c r="T108" s="1" t="s">
        <v>32</v>
      </c>
    </row>
    <row r="109" spans="1:20" x14ac:dyDescent="0.3">
      <c r="A109" s="2">
        <v>45034</v>
      </c>
      <c r="B109" s="1" t="s">
        <v>44</v>
      </c>
      <c r="C109" s="1" t="s">
        <v>45</v>
      </c>
      <c r="D109" s="1">
        <v>2023</v>
      </c>
      <c r="E109" s="1" t="s">
        <v>33</v>
      </c>
      <c r="F109" s="1" t="s">
        <v>41</v>
      </c>
      <c r="G109" s="1" t="s">
        <v>29</v>
      </c>
      <c r="H109" s="1" t="s">
        <v>39</v>
      </c>
      <c r="I109" s="1">
        <v>114177</v>
      </c>
      <c r="J109" s="1">
        <v>63528</v>
      </c>
      <c r="K109" s="1">
        <v>35776</v>
      </c>
      <c r="L109" s="1">
        <f t="shared" si="4"/>
        <v>50649</v>
      </c>
      <c r="M109" s="1">
        <f t="shared" si="5"/>
        <v>14873</v>
      </c>
      <c r="N109" s="4">
        <f t="shared" si="6"/>
        <v>13.026266235756765</v>
      </c>
      <c r="O109" s="1">
        <v>22</v>
      </c>
      <c r="P109" s="1">
        <f t="shared" si="7"/>
        <v>133251</v>
      </c>
      <c r="Q109" s="1">
        <v>114177</v>
      </c>
      <c r="R109" s="1">
        <v>-19074</v>
      </c>
      <c r="S109" s="1" t="s">
        <v>31</v>
      </c>
      <c r="T109" s="1" t="s">
        <v>27</v>
      </c>
    </row>
    <row r="110" spans="1:20" x14ac:dyDescent="0.3">
      <c r="A110" s="2">
        <v>45035</v>
      </c>
      <c r="B110" s="1" t="s">
        <v>44</v>
      </c>
      <c r="C110" s="1" t="s">
        <v>45</v>
      </c>
      <c r="D110" s="1">
        <v>2023</v>
      </c>
      <c r="E110" s="1" t="s">
        <v>40</v>
      </c>
      <c r="F110" s="1" t="s">
        <v>41</v>
      </c>
      <c r="G110" s="1" t="s">
        <v>29</v>
      </c>
      <c r="H110" s="1" t="s">
        <v>39</v>
      </c>
      <c r="I110" s="1">
        <v>121274</v>
      </c>
      <c r="J110" s="1">
        <v>80405</v>
      </c>
      <c r="K110" s="1">
        <v>30058</v>
      </c>
      <c r="L110" s="1">
        <f t="shared" si="4"/>
        <v>40869</v>
      </c>
      <c r="M110" s="1">
        <f t="shared" si="5"/>
        <v>10811</v>
      </c>
      <c r="N110" s="4">
        <f t="shared" si="6"/>
        <v>8.9145241354288647</v>
      </c>
      <c r="O110" s="1">
        <v>18</v>
      </c>
      <c r="P110" s="1">
        <f t="shared" si="7"/>
        <v>84902</v>
      </c>
      <c r="Q110" s="1">
        <v>121274</v>
      </c>
      <c r="R110" s="1">
        <v>36372</v>
      </c>
      <c r="S110" s="1" t="s">
        <v>31</v>
      </c>
      <c r="T110" s="1" t="s">
        <v>32</v>
      </c>
    </row>
    <row r="111" spans="1:20" x14ac:dyDescent="0.3">
      <c r="A111" s="2">
        <v>45036</v>
      </c>
      <c r="B111" s="1" t="s">
        <v>44</v>
      </c>
      <c r="C111" s="1" t="s">
        <v>45</v>
      </c>
      <c r="D111" s="1">
        <v>2023</v>
      </c>
      <c r="E111" s="1" t="s">
        <v>40</v>
      </c>
      <c r="F111" s="1" t="s">
        <v>28</v>
      </c>
      <c r="G111" s="1" t="s">
        <v>36</v>
      </c>
      <c r="H111" s="1" t="s">
        <v>37</v>
      </c>
      <c r="I111" s="1">
        <v>169345</v>
      </c>
      <c r="J111" s="1">
        <v>74743</v>
      </c>
      <c r="K111" s="1">
        <v>30694</v>
      </c>
      <c r="L111" s="1">
        <f t="shared" si="4"/>
        <v>94602</v>
      </c>
      <c r="M111" s="1">
        <f t="shared" si="5"/>
        <v>63908</v>
      </c>
      <c r="N111" s="4">
        <f t="shared" si="6"/>
        <v>37.738344799078803</v>
      </c>
      <c r="O111" s="1">
        <v>75</v>
      </c>
      <c r="P111" s="1">
        <f t="shared" si="7"/>
        <v>144042</v>
      </c>
      <c r="Q111" s="1">
        <v>169345</v>
      </c>
      <c r="R111" s="1">
        <v>25303</v>
      </c>
      <c r="S111" s="1" t="s">
        <v>31</v>
      </c>
      <c r="T111" s="1" t="s">
        <v>27</v>
      </c>
    </row>
    <row r="112" spans="1:20" x14ac:dyDescent="0.3">
      <c r="A112" s="2">
        <v>45037</v>
      </c>
      <c r="B112" s="1" t="s">
        <v>44</v>
      </c>
      <c r="C112" s="1" t="s">
        <v>45</v>
      </c>
      <c r="D112" s="1">
        <v>2023</v>
      </c>
      <c r="E112" s="1" t="s">
        <v>40</v>
      </c>
      <c r="F112" s="1" t="s">
        <v>35</v>
      </c>
      <c r="G112" s="1" t="s">
        <v>36</v>
      </c>
      <c r="H112" s="1" t="s">
        <v>30</v>
      </c>
      <c r="I112" s="1">
        <v>142590</v>
      </c>
      <c r="J112" s="1">
        <v>82204</v>
      </c>
      <c r="K112" s="1">
        <v>46295</v>
      </c>
      <c r="L112" s="1">
        <f t="shared" si="4"/>
        <v>60386</v>
      </c>
      <c r="M112" s="1">
        <f t="shared" si="5"/>
        <v>14091</v>
      </c>
      <c r="N112" s="4">
        <f t="shared" si="6"/>
        <v>9.8821796759941094</v>
      </c>
      <c r="O112" s="1">
        <v>69</v>
      </c>
      <c r="P112" s="1">
        <f t="shared" si="7"/>
        <v>158722</v>
      </c>
      <c r="Q112" s="1">
        <v>142590</v>
      </c>
      <c r="R112" s="1">
        <v>-16132</v>
      </c>
      <c r="S112" s="1" t="s">
        <v>31</v>
      </c>
      <c r="T112" s="1" t="s">
        <v>32</v>
      </c>
    </row>
    <row r="113" spans="1:20" x14ac:dyDescent="0.3">
      <c r="A113" s="2">
        <v>45038</v>
      </c>
      <c r="B113" s="1" t="s">
        <v>44</v>
      </c>
      <c r="C113" s="1" t="s">
        <v>45</v>
      </c>
      <c r="D113" s="1">
        <v>2023</v>
      </c>
      <c r="E113" s="1" t="s">
        <v>38</v>
      </c>
      <c r="F113" s="1" t="s">
        <v>35</v>
      </c>
      <c r="G113" s="1" t="s">
        <v>36</v>
      </c>
      <c r="H113" s="1" t="s">
        <v>37</v>
      </c>
      <c r="I113" s="1">
        <v>114400</v>
      </c>
      <c r="J113" s="1">
        <v>91109</v>
      </c>
      <c r="K113" s="1">
        <v>48458</v>
      </c>
      <c r="L113" s="1">
        <f t="shared" si="4"/>
        <v>23291</v>
      </c>
      <c r="M113" s="1">
        <f t="shared" si="5"/>
        <v>-25167</v>
      </c>
      <c r="N113" s="4">
        <f t="shared" si="6"/>
        <v>-21.999125874125873</v>
      </c>
      <c r="O113" s="1">
        <v>19</v>
      </c>
      <c r="P113" s="1">
        <f t="shared" si="7"/>
        <v>77094</v>
      </c>
      <c r="Q113" s="1">
        <v>114400</v>
      </c>
      <c r="R113" s="1">
        <v>37306</v>
      </c>
      <c r="S113" s="1" t="s">
        <v>31</v>
      </c>
      <c r="T113" s="1" t="s">
        <v>27</v>
      </c>
    </row>
    <row r="114" spans="1:20" x14ac:dyDescent="0.3">
      <c r="A114" s="2">
        <v>45039</v>
      </c>
      <c r="B114" s="1" t="s">
        <v>44</v>
      </c>
      <c r="C114" s="1" t="s">
        <v>45</v>
      </c>
      <c r="D114" s="1">
        <v>2023</v>
      </c>
      <c r="E114" s="1" t="s">
        <v>33</v>
      </c>
      <c r="F114" s="1" t="s">
        <v>28</v>
      </c>
      <c r="G114" s="1" t="s">
        <v>24</v>
      </c>
      <c r="H114" s="1" t="s">
        <v>30</v>
      </c>
      <c r="I114" s="1">
        <v>140086</v>
      </c>
      <c r="J114" s="1">
        <v>43622</v>
      </c>
      <c r="K114" s="1">
        <v>34357</v>
      </c>
      <c r="L114" s="1">
        <f t="shared" si="4"/>
        <v>96464</v>
      </c>
      <c r="M114" s="1">
        <f t="shared" si="5"/>
        <v>62107</v>
      </c>
      <c r="N114" s="4">
        <f t="shared" si="6"/>
        <v>44.334908556172635</v>
      </c>
      <c r="O114" s="1">
        <v>19</v>
      </c>
      <c r="P114" s="1">
        <f t="shared" si="7"/>
        <v>106422</v>
      </c>
      <c r="Q114" s="1">
        <v>140086</v>
      </c>
      <c r="R114" s="1">
        <v>33664</v>
      </c>
      <c r="S114" s="1" t="s">
        <v>34</v>
      </c>
      <c r="T114" s="1" t="s">
        <v>32</v>
      </c>
    </row>
    <row r="115" spans="1:20" x14ac:dyDescent="0.3">
      <c r="A115" s="2">
        <v>45040</v>
      </c>
      <c r="B115" s="1" t="s">
        <v>44</v>
      </c>
      <c r="C115" s="1" t="s">
        <v>45</v>
      </c>
      <c r="D115" s="1">
        <v>2023</v>
      </c>
      <c r="E115" s="1" t="s">
        <v>33</v>
      </c>
      <c r="F115" s="1" t="s">
        <v>23</v>
      </c>
      <c r="G115" s="1" t="s">
        <v>29</v>
      </c>
      <c r="H115" s="1" t="s">
        <v>25</v>
      </c>
      <c r="I115" s="1">
        <v>175830</v>
      </c>
      <c r="J115" s="1">
        <v>30651</v>
      </c>
      <c r="K115" s="1">
        <v>15618</v>
      </c>
      <c r="L115" s="1">
        <f t="shared" si="4"/>
        <v>145179</v>
      </c>
      <c r="M115" s="1">
        <f t="shared" si="5"/>
        <v>129561</v>
      </c>
      <c r="N115" s="4">
        <f t="shared" si="6"/>
        <v>73.685377921856343</v>
      </c>
      <c r="O115" s="1">
        <v>95</v>
      </c>
      <c r="P115" s="1">
        <f t="shared" si="7"/>
        <v>123198</v>
      </c>
      <c r="Q115" s="1">
        <v>175830</v>
      </c>
      <c r="R115" s="1">
        <v>52632</v>
      </c>
      <c r="S115" s="1" t="s">
        <v>34</v>
      </c>
      <c r="T115" s="1" t="s">
        <v>27</v>
      </c>
    </row>
    <row r="116" spans="1:20" x14ac:dyDescent="0.3">
      <c r="A116" s="2">
        <v>45041</v>
      </c>
      <c r="B116" s="1" t="s">
        <v>44</v>
      </c>
      <c r="C116" s="1" t="s">
        <v>45</v>
      </c>
      <c r="D116" s="1">
        <v>2023</v>
      </c>
      <c r="E116" s="1" t="s">
        <v>40</v>
      </c>
      <c r="F116" s="1" t="s">
        <v>41</v>
      </c>
      <c r="G116" s="1" t="s">
        <v>29</v>
      </c>
      <c r="H116" s="1" t="s">
        <v>39</v>
      </c>
      <c r="I116" s="1">
        <v>137749</v>
      </c>
      <c r="J116" s="1">
        <v>45240</v>
      </c>
      <c r="K116" s="1">
        <v>17982</v>
      </c>
      <c r="L116" s="1">
        <f t="shared" si="4"/>
        <v>92509</v>
      </c>
      <c r="M116" s="1">
        <f t="shared" si="5"/>
        <v>74527</v>
      </c>
      <c r="N116" s="4">
        <f t="shared" si="6"/>
        <v>54.10347806517651</v>
      </c>
      <c r="O116" s="1">
        <v>81</v>
      </c>
      <c r="P116" s="1">
        <f t="shared" si="7"/>
        <v>65946</v>
      </c>
      <c r="Q116" s="1">
        <v>137749</v>
      </c>
      <c r="R116" s="1">
        <v>71803</v>
      </c>
      <c r="S116" s="1" t="s">
        <v>31</v>
      </c>
      <c r="T116" s="1" t="s">
        <v>27</v>
      </c>
    </row>
    <row r="117" spans="1:20" x14ac:dyDescent="0.3">
      <c r="A117" s="2">
        <v>45042</v>
      </c>
      <c r="B117" s="1" t="s">
        <v>44</v>
      </c>
      <c r="C117" s="1" t="s">
        <v>45</v>
      </c>
      <c r="D117" s="1">
        <v>2023</v>
      </c>
      <c r="E117" s="1" t="s">
        <v>22</v>
      </c>
      <c r="F117" s="1" t="s">
        <v>28</v>
      </c>
      <c r="G117" s="1" t="s">
        <v>29</v>
      </c>
      <c r="H117" s="1" t="s">
        <v>39</v>
      </c>
      <c r="I117" s="1">
        <v>148389</v>
      </c>
      <c r="J117" s="1">
        <v>91778</v>
      </c>
      <c r="K117" s="1">
        <v>25036</v>
      </c>
      <c r="L117" s="1">
        <f t="shared" si="4"/>
        <v>56611</v>
      </c>
      <c r="M117" s="1">
        <f t="shared" si="5"/>
        <v>31575</v>
      </c>
      <c r="N117" s="4">
        <f t="shared" si="6"/>
        <v>21.278531427531693</v>
      </c>
      <c r="O117" s="1">
        <v>46</v>
      </c>
      <c r="P117" s="1">
        <f t="shared" si="7"/>
        <v>68014</v>
      </c>
      <c r="Q117" s="1">
        <v>148389</v>
      </c>
      <c r="R117" s="1">
        <v>80375</v>
      </c>
      <c r="S117" s="1" t="s">
        <v>31</v>
      </c>
      <c r="T117" s="1" t="s">
        <v>27</v>
      </c>
    </row>
    <row r="118" spans="1:20" x14ac:dyDescent="0.3">
      <c r="A118" s="2">
        <v>45043</v>
      </c>
      <c r="B118" s="1" t="s">
        <v>44</v>
      </c>
      <c r="C118" s="1" t="s">
        <v>45</v>
      </c>
      <c r="D118" s="1">
        <v>2023</v>
      </c>
      <c r="E118" s="1" t="s">
        <v>40</v>
      </c>
      <c r="F118" s="1" t="s">
        <v>28</v>
      </c>
      <c r="G118" s="1" t="s">
        <v>24</v>
      </c>
      <c r="H118" s="1" t="s">
        <v>37</v>
      </c>
      <c r="I118" s="1">
        <v>53286</v>
      </c>
      <c r="J118" s="1">
        <v>84066</v>
      </c>
      <c r="K118" s="1">
        <v>21966</v>
      </c>
      <c r="L118" s="1">
        <f t="shared" si="4"/>
        <v>-30780</v>
      </c>
      <c r="M118" s="1">
        <f t="shared" si="5"/>
        <v>-52746</v>
      </c>
      <c r="N118" s="4">
        <f t="shared" si="6"/>
        <v>-98.986600608039637</v>
      </c>
      <c r="O118" s="1">
        <v>65</v>
      </c>
      <c r="P118" s="1">
        <f t="shared" si="7"/>
        <v>113410</v>
      </c>
      <c r="Q118" s="1">
        <v>53286</v>
      </c>
      <c r="R118" s="1">
        <v>-60124</v>
      </c>
      <c r="S118" s="1" t="s">
        <v>31</v>
      </c>
      <c r="T118" s="1" t="s">
        <v>27</v>
      </c>
    </row>
    <row r="119" spans="1:20" x14ac:dyDescent="0.3">
      <c r="A119" s="2">
        <v>45044</v>
      </c>
      <c r="B119" s="1" t="s">
        <v>44</v>
      </c>
      <c r="C119" s="1" t="s">
        <v>45</v>
      </c>
      <c r="D119" s="1">
        <v>2023</v>
      </c>
      <c r="E119" s="1" t="s">
        <v>33</v>
      </c>
      <c r="F119" s="1" t="s">
        <v>28</v>
      </c>
      <c r="G119" s="1" t="s">
        <v>24</v>
      </c>
      <c r="H119" s="1" t="s">
        <v>39</v>
      </c>
      <c r="I119" s="1">
        <v>139571</v>
      </c>
      <c r="J119" s="1">
        <v>88725</v>
      </c>
      <c r="K119" s="1">
        <v>28758</v>
      </c>
      <c r="L119" s="1">
        <f t="shared" si="4"/>
        <v>50846</v>
      </c>
      <c r="M119" s="1">
        <f t="shared" si="5"/>
        <v>22088</v>
      </c>
      <c r="N119" s="4">
        <f t="shared" si="6"/>
        <v>15.825637130922612</v>
      </c>
      <c r="O119" s="1">
        <v>73</v>
      </c>
      <c r="P119" s="1">
        <f t="shared" si="7"/>
        <v>96199</v>
      </c>
      <c r="Q119" s="1">
        <v>139571</v>
      </c>
      <c r="R119" s="1">
        <v>43372</v>
      </c>
      <c r="S119" s="1" t="s">
        <v>31</v>
      </c>
      <c r="T119" s="1" t="s">
        <v>27</v>
      </c>
    </row>
    <row r="120" spans="1:20" x14ac:dyDescent="0.3">
      <c r="A120" s="2">
        <v>45045</v>
      </c>
      <c r="B120" s="1" t="s">
        <v>44</v>
      </c>
      <c r="C120" s="1" t="s">
        <v>45</v>
      </c>
      <c r="D120" s="1">
        <v>2023</v>
      </c>
      <c r="E120" s="1" t="s">
        <v>33</v>
      </c>
      <c r="F120" s="1" t="s">
        <v>28</v>
      </c>
      <c r="G120" s="1" t="s">
        <v>36</v>
      </c>
      <c r="H120" s="1" t="s">
        <v>37</v>
      </c>
      <c r="I120" s="1">
        <v>140690</v>
      </c>
      <c r="J120" s="1">
        <v>90149</v>
      </c>
      <c r="K120" s="1">
        <v>13738</v>
      </c>
      <c r="L120" s="1">
        <f t="shared" si="4"/>
        <v>50541</v>
      </c>
      <c r="M120" s="1">
        <f t="shared" si="5"/>
        <v>36803</v>
      </c>
      <c r="N120" s="4">
        <f t="shared" si="6"/>
        <v>26.158930983012297</v>
      </c>
      <c r="O120" s="1">
        <v>63</v>
      </c>
      <c r="P120" s="1">
        <f t="shared" si="7"/>
        <v>174502</v>
      </c>
      <c r="Q120" s="1">
        <v>140690</v>
      </c>
      <c r="R120" s="1">
        <v>-33812</v>
      </c>
      <c r="S120" s="1" t="s">
        <v>34</v>
      </c>
      <c r="T120" s="1" t="s">
        <v>27</v>
      </c>
    </row>
    <row r="121" spans="1:20" x14ac:dyDescent="0.3">
      <c r="A121" s="2">
        <v>45046</v>
      </c>
      <c r="B121" s="1" t="s">
        <v>44</v>
      </c>
      <c r="C121" s="1" t="s">
        <v>45</v>
      </c>
      <c r="D121" s="1">
        <v>2023</v>
      </c>
      <c r="E121" s="1" t="s">
        <v>33</v>
      </c>
      <c r="F121" s="1" t="s">
        <v>28</v>
      </c>
      <c r="G121" s="1" t="s">
        <v>24</v>
      </c>
      <c r="H121" s="1" t="s">
        <v>25</v>
      </c>
      <c r="I121" s="1">
        <v>150219</v>
      </c>
      <c r="J121" s="1">
        <v>41193</v>
      </c>
      <c r="K121" s="1">
        <v>26959</v>
      </c>
      <c r="L121" s="1">
        <f t="shared" si="4"/>
        <v>109026</v>
      </c>
      <c r="M121" s="1">
        <f t="shared" si="5"/>
        <v>82067</v>
      </c>
      <c r="N121" s="4">
        <f t="shared" si="6"/>
        <v>54.631571239323918</v>
      </c>
      <c r="O121" s="1">
        <v>41</v>
      </c>
      <c r="P121" s="1">
        <f t="shared" si="7"/>
        <v>173588</v>
      </c>
      <c r="Q121" s="1">
        <v>150219</v>
      </c>
      <c r="R121" s="1">
        <v>-23369</v>
      </c>
      <c r="S121" s="1" t="s">
        <v>26</v>
      </c>
      <c r="T12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PONNAM</dc:creator>
  <cp:lastModifiedBy>DINESH PONNAM</cp:lastModifiedBy>
  <dcterms:created xsi:type="dcterms:W3CDTF">2026-04-19T08:31:43Z</dcterms:created>
  <dcterms:modified xsi:type="dcterms:W3CDTF">2026-04-19T08:36:34Z</dcterms:modified>
</cp:coreProperties>
</file>